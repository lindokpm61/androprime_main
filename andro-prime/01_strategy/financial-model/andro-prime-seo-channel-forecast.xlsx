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Traffic_Ramp" sheetId="2" state="visible" r:id="rId2"/>
    <sheet name="Forecast" sheetId="3" state="visible" r:id="rId3"/>
    <sheet name="Downstre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0.0%"/>
    <numFmt numFmtId="166" formatCode="#,##0.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3" fillId="4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3" fontId="0" fillId="0" borderId="1" pivotButton="0" quotePrefix="0" xfId="0"/>
    <xf numFmtId="166" fontId="0" fillId="0" borderId="1" pivotButton="0" quotePrefix="0" xfId="0"/>
    <xf numFmtId="164" fontId="0" fillId="5" borderId="1" pivotButton="0" quotePrefix="0" xfId="0"/>
    <xf numFmtId="164" fontId="0" fillId="6" borderId="1" pivotButton="0" quotePrefix="0" xfId="0"/>
    <xf numFmtId="164" fontId="0" fillId="7" borderId="1" pivotButton="0" quotePrefix="0" xfId="0"/>
    <xf numFmtId="166" fontId="3" fillId="4" borderId="1" pivotButton="0" quotePrefix="0" xfId="0"/>
    <xf numFmtId="166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46" customWidth="1" min="4" max="4"/>
  </cols>
  <sheetData>
    <row r="1">
      <c r="A1" s="1" t="inlineStr">
        <is>
          <t>SEO CHANNEL FORECAST — ASSUMPTIONS (edit yellow cells; everything else recalculates)</t>
        </is>
      </c>
    </row>
    <row r="2"/>
    <row r="3">
      <c r="A3" s="2" t="inlineStr">
        <is>
          <t>Lever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</t>
        </is>
      </c>
    </row>
    <row r="4">
      <c r="A4" s="3" t="inlineStr">
        <is>
          <t>Kit AOV (blended)</t>
        </is>
      </c>
      <c r="B4" s="4" t="n">
        <v>135</v>
      </c>
      <c r="C4" s="5" t="inlineStr">
        <is>
          <t>GBP</t>
        </is>
      </c>
      <c r="D4" s="6" t="inlineStr">
        <is>
          <t>Mix of Kit 1 £99 / Kit 2 £119 / Kit 3 £179 / Kit 3 Plus £239</t>
        </is>
      </c>
    </row>
    <row r="5">
      <c r="A5" s="3" t="inlineStr">
        <is>
          <t>Supplement + retest uplift / customer</t>
        </is>
      </c>
      <c r="B5" s="4" t="n">
        <v>25</v>
      </c>
      <c r="C5" s="5" t="inlineStr">
        <is>
          <t>GBP</t>
        </is>
      </c>
      <c r="D5" s="6" t="inlineStr">
        <is>
          <t>~20-30% attach; LTV £37.50 (3-mo) -&gt; £77.32 (12-mo tenure)</t>
        </is>
      </c>
    </row>
    <row r="6">
      <c r="A6" s="3" t="inlineStr">
        <is>
          <t>Effective revenue / kit customer</t>
        </is>
      </c>
      <c r="B6" s="7">
        <f>B4+B5</f>
        <v/>
      </c>
      <c r="D6" s="6" t="inlineStr">
        <is>
          <t>AOV + supplement/retest uplift (18-mo window)</t>
        </is>
      </c>
    </row>
    <row r="7"/>
    <row r="8">
      <c r="A8" s="2" t="inlineStr">
        <is>
          <t>Blog -&gt; kit conversion</t>
        </is>
      </c>
      <c r="B8" s="2" t="inlineStr">
        <is>
          <t>Rate</t>
        </is>
      </c>
      <c r="C8" s="2" t="inlineStr"/>
      <c r="D8" s="2" t="inlineStr">
        <is>
          <t>Note</t>
        </is>
      </c>
    </row>
    <row r="9">
      <c r="A9" s="3" t="inlineStr">
        <is>
          <t>Conservative</t>
        </is>
      </c>
      <c r="B9" s="8" t="n">
        <v>0.003</v>
      </c>
      <c r="D9" s="6" t="inlineStr">
        <is>
          <t>Mostly informational traffic; weak funnel</t>
        </is>
      </c>
    </row>
    <row r="10">
      <c r="A10" s="3" t="inlineStr">
        <is>
          <t>Base</t>
        </is>
      </c>
      <c r="B10" s="8" t="n">
        <v>0.005</v>
      </c>
      <c r="D10" s="6" t="inlineStr">
        <is>
          <t>Semi-commercial 'X blood test' terms + CIO nurture</t>
        </is>
      </c>
    </row>
    <row r="11">
      <c r="A11" s="3" t="inlineStr">
        <is>
          <t>Strong</t>
        </is>
      </c>
      <c r="B11" s="8" t="n">
        <v>0.01</v>
      </c>
      <c r="D11" s="6" t="inlineStr">
        <is>
          <t>High commercial-intent mix + tight CRO</t>
        </is>
      </c>
    </row>
    <row r="12"/>
    <row r="13">
      <c r="A13" s="2" t="inlineStr">
        <is>
          <t>Downstream CQC/TRT cohort (post-18mo prize)</t>
        </is>
      </c>
      <c r="B13" s="2" t="inlineStr">
        <is>
          <t>Value</t>
        </is>
      </c>
      <c r="C13" s="2" t="inlineStr"/>
      <c r="D13" s="2" t="inlineStr">
        <is>
          <t>Note</t>
        </is>
      </c>
    </row>
    <row r="14">
      <c r="A14" s="3" t="inlineStr">
        <is>
          <t>TRT conversion of wellness cohort</t>
        </is>
      </c>
      <c r="B14" s="8" t="n">
        <v>0.12</v>
      </c>
      <c r="D14" s="6" t="inlineStr">
        <is>
          <t>Share of kit customers -&gt; TRT after CQC</t>
        </is>
      </c>
    </row>
    <row r="15">
      <c r="A15" s="3" t="inlineStr">
        <is>
          <t>TRT ARPU / month</t>
        </is>
      </c>
      <c r="B15" s="4" t="n">
        <v>200</v>
      </c>
      <c r="D15" s="6" t="inlineStr">
        <is>
          <t>Model: men pay £185-220/mo new-brand TRT</t>
        </is>
      </c>
    </row>
    <row r="16">
      <c r="A16" s="3" t="inlineStr">
        <is>
          <t>Billed months (Year-1 of TRT)</t>
        </is>
      </c>
      <c r="B16" s="9" t="n">
        <v>12</v>
      </c>
      <c r="D16" s="6" t="inlineStr">
        <is>
          <t>First 12 months of the TRT subscription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MONTHLY ORGANIC SESSIONS (edit any cell; back-loaded by design — SEO matures M12-18)</t>
        </is>
      </c>
    </row>
    <row r="2"/>
    <row r="3">
      <c r="A3" s="2" t="inlineStr">
        <is>
          <t>Month</t>
        </is>
      </c>
      <c r="B3" s="2" t="inlineStr">
        <is>
          <t>Conservative</t>
        </is>
      </c>
      <c r="C3" s="2" t="inlineStr">
        <is>
          <t>Base</t>
        </is>
      </c>
      <c r="D3" s="2" t="inlineStr">
        <is>
          <t>Strong</t>
        </is>
      </c>
    </row>
    <row r="4">
      <c r="A4" s="3" t="inlineStr">
        <is>
          <t>M1</t>
        </is>
      </c>
      <c r="B4" s="9" t="n">
        <v>120</v>
      </c>
      <c r="C4" s="9" t="n">
        <v>200</v>
      </c>
      <c r="D4" s="9" t="n">
        <v>400</v>
      </c>
    </row>
    <row r="5">
      <c r="A5" s="3" t="inlineStr">
        <is>
          <t>M2</t>
        </is>
      </c>
      <c r="B5" s="9" t="n">
        <v>280</v>
      </c>
      <c r="C5" s="9" t="n">
        <v>500</v>
      </c>
      <c r="D5" s="9" t="n">
        <v>1000</v>
      </c>
    </row>
    <row r="6">
      <c r="A6" s="3" t="inlineStr">
        <is>
          <t>M3</t>
        </is>
      </c>
      <c r="B6" s="9" t="n">
        <v>480</v>
      </c>
      <c r="C6" s="9" t="n">
        <v>900</v>
      </c>
      <c r="D6" s="9" t="n">
        <v>1800</v>
      </c>
    </row>
    <row r="7">
      <c r="A7" s="3" t="inlineStr">
        <is>
          <t>M4</t>
        </is>
      </c>
      <c r="B7" s="9" t="n">
        <v>720</v>
      </c>
      <c r="C7" s="9" t="n">
        <v>1500</v>
      </c>
      <c r="D7" s="9" t="n">
        <v>3000</v>
      </c>
    </row>
    <row r="8">
      <c r="A8" s="3" t="inlineStr">
        <is>
          <t>M5</t>
        </is>
      </c>
      <c r="B8" s="9" t="n">
        <v>1050</v>
      </c>
      <c r="C8" s="9" t="n">
        <v>2500</v>
      </c>
      <c r="D8" s="9" t="n">
        <v>5000</v>
      </c>
    </row>
    <row r="9">
      <c r="A9" s="3" t="inlineStr">
        <is>
          <t>M6</t>
        </is>
      </c>
      <c r="B9" s="9" t="n">
        <v>1500</v>
      </c>
      <c r="C9" s="9" t="n">
        <v>4000</v>
      </c>
      <c r="D9" s="9" t="n">
        <v>7000</v>
      </c>
    </row>
    <row r="10">
      <c r="A10" s="3" t="inlineStr">
        <is>
          <t>M7</t>
        </is>
      </c>
      <c r="B10" s="9" t="n">
        <v>2100</v>
      </c>
      <c r="C10" s="9" t="n">
        <v>6000</v>
      </c>
      <c r="D10" s="9" t="n">
        <v>10000</v>
      </c>
    </row>
    <row r="11">
      <c r="A11" s="3" t="inlineStr">
        <is>
          <t>M8</t>
        </is>
      </c>
      <c r="B11" s="9" t="n">
        <v>2900</v>
      </c>
      <c r="C11" s="9" t="n">
        <v>8500</v>
      </c>
      <c r="D11" s="9" t="n">
        <v>14000</v>
      </c>
    </row>
    <row r="12">
      <c r="A12" s="3" t="inlineStr">
        <is>
          <t>M9</t>
        </is>
      </c>
      <c r="B12" s="9" t="n">
        <v>3900</v>
      </c>
      <c r="C12" s="9" t="n">
        <v>12000</v>
      </c>
      <c r="D12" s="9" t="n">
        <v>18000</v>
      </c>
    </row>
    <row r="13">
      <c r="A13" s="3" t="inlineStr">
        <is>
          <t>M10</t>
        </is>
      </c>
      <c r="B13" s="9" t="n">
        <v>5200</v>
      </c>
      <c r="C13" s="9" t="n">
        <v>15000</v>
      </c>
      <c r="D13" s="9" t="n">
        <v>23000</v>
      </c>
    </row>
    <row r="14">
      <c r="A14" s="3" t="inlineStr">
        <is>
          <t>M11</t>
        </is>
      </c>
      <c r="B14" s="9" t="n">
        <v>6500</v>
      </c>
      <c r="C14" s="9" t="n">
        <v>18000</v>
      </c>
      <c r="D14" s="9" t="n">
        <v>28000</v>
      </c>
    </row>
    <row r="15">
      <c r="A15" s="3" t="inlineStr">
        <is>
          <t>M12</t>
        </is>
      </c>
      <c r="B15" s="9" t="n">
        <v>8000</v>
      </c>
      <c r="C15" s="9" t="n">
        <v>20000</v>
      </c>
      <c r="D15" s="9" t="n">
        <v>32000</v>
      </c>
    </row>
    <row r="16">
      <c r="A16" s="3" t="inlineStr">
        <is>
          <t>M13</t>
        </is>
      </c>
      <c r="B16" s="9" t="n">
        <v>9800</v>
      </c>
      <c r="C16" s="9" t="n">
        <v>24000</v>
      </c>
      <c r="D16" s="9" t="n">
        <v>40000</v>
      </c>
    </row>
    <row r="17">
      <c r="A17" s="3" t="inlineStr">
        <is>
          <t>M14</t>
        </is>
      </c>
      <c r="B17" s="9" t="n">
        <v>11500</v>
      </c>
      <c r="C17" s="9" t="n">
        <v>28000</v>
      </c>
      <c r="D17" s="9" t="n">
        <v>48000</v>
      </c>
    </row>
    <row r="18">
      <c r="A18" s="3" t="inlineStr">
        <is>
          <t>M15</t>
        </is>
      </c>
      <c r="B18" s="9" t="n">
        <v>13000</v>
      </c>
      <c r="C18" s="9" t="n">
        <v>32000</v>
      </c>
      <c r="D18" s="9" t="n">
        <v>55000</v>
      </c>
    </row>
    <row r="19">
      <c r="A19" s="3" t="inlineStr">
        <is>
          <t>M16</t>
        </is>
      </c>
      <c r="B19" s="9" t="n">
        <v>15000</v>
      </c>
      <c r="C19" s="9" t="n">
        <v>35000</v>
      </c>
      <c r="D19" s="9" t="n">
        <v>60000</v>
      </c>
    </row>
    <row r="20">
      <c r="A20" s="3" t="inlineStr">
        <is>
          <t>M17</t>
        </is>
      </c>
      <c r="B20" s="9" t="n">
        <v>16500</v>
      </c>
      <c r="C20" s="9" t="n">
        <v>38000</v>
      </c>
      <c r="D20" s="9" t="n">
        <v>65000</v>
      </c>
    </row>
    <row r="21">
      <c r="A21" s="3" t="inlineStr">
        <is>
          <t>M18</t>
        </is>
      </c>
      <c r="B21" s="9" t="n">
        <v>18000</v>
      </c>
      <c r="C21" s="9" t="n">
        <v>40000</v>
      </c>
      <c r="D21" s="9" t="n">
        <v>70000</v>
      </c>
    </row>
    <row r="22">
      <c r="A22" s="10" t="inlineStr">
        <is>
          <t>18-mo total</t>
        </is>
      </c>
      <c r="B22" s="11">
        <f>SUM(B4:B21)</f>
        <v/>
      </c>
      <c r="C22" s="11">
        <f>SUM(C4:C21)</f>
        <v/>
      </c>
      <c r="D22" s="11">
        <f>SUM(D4:D21)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36" customWidth="1" min="3" max="3"/>
    <col width="23" customWidth="1" min="4" max="4"/>
    <col width="19" customWidth="1" min="5" max="5"/>
    <col width="37" customWidth="1" min="6" max="6"/>
    <col width="23" customWidth="1" min="7" max="7"/>
    <col width="19" customWidth="1" min="8" max="8"/>
    <col width="37" customWidth="1" min="9" max="9"/>
    <col width="23" customWidth="1" min="10" max="10"/>
  </cols>
  <sheetData>
    <row r="1">
      <c r="A1" s="1" t="inlineStr">
        <is>
          <t>18-MONTH SEO REVENUE FORECAST (all formulas — driven by Assumptions + Traffic_Ramp)</t>
        </is>
      </c>
    </row>
    <row r="2">
      <c r="A2" s="2" t="inlineStr"/>
      <c r="B2" s="12" t="inlineStr">
        <is>
          <t>CONSERVATIVE</t>
        </is>
      </c>
      <c r="C2" s="12" t="inlineStr"/>
      <c r="D2" s="12" t="inlineStr"/>
      <c r="E2" s="13" t="inlineStr">
        <is>
          <t>BASE</t>
        </is>
      </c>
      <c r="F2" s="13" t="inlineStr"/>
      <c r="G2" s="13" t="inlineStr"/>
      <c r="H2" s="14" t="inlineStr">
        <is>
          <t>STRONG</t>
        </is>
      </c>
      <c r="I2" s="14" t="inlineStr"/>
      <c r="J2" s="14" t="inlineStr"/>
    </row>
    <row r="3">
      <c r="A3" s="2" t="inlineStr">
        <is>
          <t>Month</t>
        </is>
      </c>
      <c r="B3" s="2" t="inlineStr">
        <is>
          <t>Sessions</t>
        </is>
      </c>
      <c r="C3" s="2" t="inlineStr">
        <is>
          <t>Customers</t>
        </is>
      </c>
      <c r="D3" s="2" t="inlineStr">
        <is>
          <t>Revenue</t>
        </is>
      </c>
      <c r="E3" s="2" t="inlineStr">
        <is>
          <t>Sessions</t>
        </is>
      </c>
      <c r="F3" s="2" t="inlineStr">
        <is>
          <t>Customers</t>
        </is>
      </c>
      <c r="G3" s="2" t="inlineStr">
        <is>
          <t>Revenue</t>
        </is>
      </c>
      <c r="H3" s="2" t="inlineStr">
        <is>
          <t>Sessions</t>
        </is>
      </c>
      <c r="I3" s="2" t="inlineStr">
        <is>
          <t>Customers</t>
        </is>
      </c>
      <c r="J3" s="2" t="inlineStr">
        <is>
          <t>Revenue</t>
        </is>
      </c>
    </row>
    <row r="4">
      <c r="A4" s="3" t="inlineStr">
        <is>
          <t>M1</t>
        </is>
      </c>
      <c r="B4" s="15">
        <f>Traffic_Ramp!B4</f>
        <v/>
      </c>
      <c r="C4" s="16">
        <f>Traffic_Ramp!B4*Assumptions!$B$9</f>
        <v/>
      </c>
      <c r="D4" s="17">
        <f>C4*Assumptions!$B$6</f>
        <v/>
      </c>
      <c r="E4" s="15">
        <f>Traffic_Ramp!C4</f>
        <v/>
      </c>
      <c r="F4" s="16">
        <f>Traffic_Ramp!C4*Assumptions!$B$10</f>
        <v/>
      </c>
      <c r="G4" s="18">
        <f>F4*Assumptions!$B$6</f>
        <v/>
      </c>
      <c r="H4" s="15">
        <f>Traffic_Ramp!D4</f>
        <v/>
      </c>
      <c r="I4" s="16">
        <f>Traffic_Ramp!D4*Assumptions!$B$11</f>
        <v/>
      </c>
      <c r="J4" s="19">
        <f>I4*Assumptions!$B$6</f>
        <v/>
      </c>
    </row>
    <row r="5">
      <c r="A5" s="3" t="inlineStr">
        <is>
          <t>M2</t>
        </is>
      </c>
      <c r="B5" s="15">
        <f>Traffic_Ramp!B5</f>
        <v/>
      </c>
      <c r="C5" s="16">
        <f>Traffic_Ramp!B5*Assumptions!$B$9</f>
        <v/>
      </c>
      <c r="D5" s="17">
        <f>C5*Assumptions!$B$6</f>
        <v/>
      </c>
      <c r="E5" s="15">
        <f>Traffic_Ramp!C5</f>
        <v/>
      </c>
      <c r="F5" s="16">
        <f>Traffic_Ramp!C5*Assumptions!$B$10</f>
        <v/>
      </c>
      <c r="G5" s="18">
        <f>F5*Assumptions!$B$6</f>
        <v/>
      </c>
      <c r="H5" s="15">
        <f>Traffic_Ramp!D5</f>
        <v/>
      </c>
      <c r="I5" s="16">
        <f>Traffic_Ramp!D5*Assumptions!$B$11</f>
        <v/>
      </c>
      <c r="J5" s="19">
        <f>I5*Assumptions!$B$6</f>
        <v/>
      </c>
    </row>
    <row r="6">
      <c r="A6" s="3" t="inlineStr">
        <is>
          <t>M3</t>
        </is>
      </c>
      <c r="B6" s="15">
        <f>Traffic_Ramp!B6</f>
        <v/>
      </c>
      <c r="C6" s="16">
        <f>Traffic_Ramp!B6*Assumptions!$B$9</f>
        <v/>
      </c>
      <c r="D6" s="17">
        <f>C6*Assumptions!$B$6</f>
        <v/>
      </c>
      <c r="E6" s="15">
        <f>Traffic_Ramp!C6</f>
        <v/>
      </c>
      <c r="F6" s="16">
        <f>Traffic_Ramp!C6*Assumptions!$B$10</f>
        <v/>
      </c>
      <c r="G6" s="18">
        <f>F6*Assumptions!$B$6</f>
        <v/>
      </c>
      <c r="H6" s="15">
        <f>Traffic_Ramp!D6</f>
        <v/>
      </c>
      <c r="I6" s="16">
        <f>Traffic_Ramp!D6*Assumptions!$B$11</f>
        <v/>
      </c>
      <c r="J6" s="19">
        <f>I6*Assumptions!$B$6</f>
        <v/>
      </c>
    </row>
    <row r="7">
      <c r="A7" s="3" t="inlineStr">
        <is>
          <t>M4</t>
        </is>
      </c>
      <c r="B7" s="15">
        <f>Traffic_Ramp!B7</f>
        <v/>
      </c>
      <c r="C7" s="16">
        <f>Traffic_Ramp!B7*Assumptions!$B$9</f>
        <v/>
      </c>
      <c r="D7" s="17">
        <f>C7*Assumptions!$B$6</f>
        <v/>
      </c>
      <c r="E7" s="15">
        <f>Traffic_Ramp!C7</f>
        <v/>
      </c>
      <c r="F7" s="16">
        <f>Traffic_Ramp!C7*Assumptions!$B$10</f>
        <v/>
      </c>
      <c r="G7" s="18">
        <f>F7*Assumptions!$B$6</f>
        <v/>
      </c>
      <c r="H7" s="15">
        <f>Traffic_Ramp!D7</f>
        <v/>
      </c>
      <c r="I7" s="16">
        <f>Traffic_Ramp!D7*Assumptions!$B$11</f>
        <v/>
      </c>
      <c r="J7" s="19">
        <f>I7*Assumptions!$B$6</f>
        <v/>
      </c>
    </row>
    <row r="8">
      <c r="A8" s="3" t="inlineStr">
        <is>
          <t>M5</t>
        </is>
      </c>
      <c r="B8" s="15">
        <f>Traffic_Ramp!B8</f>
        <v/>
      </c>
      <c r="C8" s="16">
        <f>Traffic_Ramp!B8*Assumptions!$B$9</f>
        <v/>
      </c>
      <c r="D8" s="17">
        <f>C8*Assumptions!$B$6</f>
        <v/>
      </c>
      <c r="E8" s="15">
        <f>Traffic_Ramp!C8</f>
        <v/>
      </c>
      <c r="F8" s="16">
        <f>Traffic_Ramp!C8*Assumptions!$B$10</f>
        <v/>
      </c>
      <c r="G8" s="18">
        <f>F8*Assumptions!$B$6</f>
        <v/>
      </c>
      <c r="H8" s="15">
        <f>Traffic_Ramp!D8</f>
        <v/>
      </c>
      <c r="I8" s="16">
        <f>Traffic_Ramp!D8*Assumptions!$B$11</f>
        <v/>
      </c>
      <c r="J8" s="19">
        <f>I8*Assumptions!$B$6</f>
        <v/>
      </c>
    </row>
    <row r="9">
      <c r="A9" s="3" t="inlineStr">
        <is>
          <t>M6</t>
        </is>
      </c>
      <c r="B9" s="15">
        <f>Traffic_Ramp!B9</f>
        <v/>
      </c>
      <c r="C9" s="16">
        <f>Traffic_Ramp!B9*Assumptions!$B$9</f>
        <v/>
      </c>
      <c r="D9" s="17">
        <f>C9*Assumptions!$B$6</f>
        <v/>
      </c>
      <c r="E9" s="15">
        <f>Traffic_Ramp!C9</f>
        <v/>
      </c>
      <c r="F9" s="16">
        <f>Traffic_Ramp!C9*Assumptions!$B$10</f>
        <v/>
      </c>
      <c r="G9" s="18">
        <f>F9*Assumptions!$B$6</f>
        <v/>
      </c>
      <c r="H9" s="15">
        <f>Traffic_Ramp!D9</f>
        <v/>
      </c>
      <c r="I9" s="16">
        <f>Traffic_Ramp!D9*Assumptions!$B$11</f>
        <v/>
      </c>
      <c r="J9" s="19">
        <f>I9*Assumptions!$B$6</f>
        <v/>
      </c>
    </row>
    <row r="10">
      <c r="A10" s="3" t="inlineStr">
        <is>
          <t>M7</t>
        </is>
      </c>
      <c r="B10" s="15">
        <f>Traffic_Ramp!B10</f>
        <v/>
      </c>
      <c r="C10" s="16">
        <f>Traffic_Ramp!B10*Assumptions!$B$9</f>
        <v/>
      </c>
      <c r="D10" s="17">
        <f>C10*Assumptions!$B$6</f>
        <v/>
      </c>
      <c r="E10" s="15">
        <f>Traffic_Ramp!C10</f>
        <v/>
      </c>
      <c r="F10" s="16">
        <f>Traffic_Ramp!C10*Assumptions!$B$10</f>
        <v/>
      </c>
      <c r="G10" s="18">
        <f>F10*Assumptions!$B$6</f>
        <v/>
      </c>
      <c r="H10" s="15">
        <f>Traffic_Ramp!D10</f>
        <v/>
      </c>
      <c r="I10" s="16">
        <f>Traffic_Ramp!D10*Assumptions!$B$11</f>
        <v/>
      </c>
      <c r="J10" s="19">
        <f>I10*Assumptions!$B$6</f>
        <v/>
      </c>
    </row>
    <row r="11">
      <c r="A11" s="3" t="inlineStr">
        <is>
          <t>M8</t>
        </is>
      </c>
      <c r="B11" s="15">
        <f>Traffic_Ramp!B11</f>
        <v/>
      </c>
      <c r="C11" s="16">
        <f>Traffic_Ramp!B11*Assumptions!$B$9</f>
        <v/>
      </c>
      <c r="D11" s="17">
        <f>C11*Assumptions!$B$6</f>
        <v/>
      </c>
      <c r="E11" s="15">
        <f>Traffic_Ramp!C11</f>
        <v/>
      </c>
      <c r="F11" s="16">
        <f>Traffic_Ramp!C11*Assumptions!$B$10</f>
        <v/>
      </c>
      <c r="G11" s="18">
        <f>F11*Assumptions!$B$6</f>
        <v/>
      </c>
      <c r="H11" s="15">
        <f>Traffic_Ramp!D11</f>
        <v/>
      </c>
      <c r="I11" s="16">
        <f>Traffic_Ramp!D11*Assumptions!$B$11</f>
        <v/>
      </c>
      <c r="J11" s="19">
        <f>I11*Assumptions!$B$6</f>
        <v/>
      </c>
    </row>
    <row r="12">
      <c r="A12" s="3" t="inlineStr">
        <is>
          <t>M9</t>
        </is>
      </c>
      <c r="B12" s="15">
        <f>Traffic_Ramp!B12</f>
        <v/>
      </c>
      <c r="C12" s="16">
        <f>Traffic_Ramp!B12*Assumptions!$B$9</f>
        <v/>
      </c>
      <c r="D12" s="17">
        <f>C12*Assumptions!$B$6</f>
        <v/>
      </c>
      <c r="E12" s="15">
        <f>Traffic_Ramp!C12</f>
        <v/>
      </c>
      <c r="F12" s="16">
        <f>Traffic_Ramp!C12*Assumptions!$B$10</f>
        <v/>
      </c>
      <c r="G12" s="18">
        <f>F12*Assumptions!$B$6</f>
        <v/>
      </c>
      <c r="H12" s="15">
        <f>Traffic_Ramp!D12</f>
        <v/>
      </c>
      <c r="I12" s="16">
        <f>Traffic_Ramp!D12*Assumptions!$B$11</f>
        <v/>
      </c>
      <c r="J12" s="19">
        <f>I12*Assumptions!$B$6</f>
        <v/>
      </c>
    </row>
    <row r="13">
      <c r="A13" s="3" t="inlineStr">
        <is>
          <t>M10</t>
        </is>
      </c>
      <c r="B13" s="15">
        <f>Traffic_Ramp!B13</f>
        <v/>
      </c>
      <c r="C13" s="16">
        <f>Traffic_Ramp!B13*Assumptions!$B$9</f>
        <v/>
      </c>
      <c r="D13" s="17">
        <f>C13*Assumptions!$B$6</f>
        <v/>
      </c>
      <c r="E13" s="15">
        <f>Traffic_Ramp!C13</f>
        <v/>
      </c>
      <c r="F13" s="16">
        <f>Traffic_Ramp!C13*Assumptions!$B$10</f>
        <v/>
      </c>
      <c r="G13" s="18">
        <f>F13*Assumptions!$B$6</f>
        <v/>
      </c>
      <c r="H13" s="15">
        <f>Traffic_Ramp!D13</f>
        <v/>
      </c>
      <c r="I13" s="16">
        <f>Traffic_Ramp!D13*Assumptions!$B$11</f>
        <v/>
      </c>
      <c r="J13" s="19">
        <f>I13*Assumptions!$B$6</f>
        <v/>
      </c>
    </row>
    <row r="14">
      <c r="A14" s="3" t="inlineStr">
        <is>
          <t>M11</t>
        </is>
      </c>
      <c r="B14" s="15">
        <f>Traffic_Ramp!B14</f>
        <v/>
      </c>
      <c r="C14" s="16">
        <f>Traffic_Ramp!B14*Assumptions!$B$9</f>
        <v/>
      </c>
      <c r="D14" s="17">
        <f>C14*Assumptions!$B$6</f>
        <v/>
      </c>
      <c r="E14" s="15">
        <f>Traffic_Ramp!C14</f>
        <v/>
      </c>
      <c r="F14" s="16">
        <f>Traffic_Ramp!C14*Assumptions!$B$10</f>
        <v/>
      </c>
      <c r="G14" s="18">
        <f>F14*Assumptions!$B$6</f>
        <v/>
      </c>
      <c r="H14" s="15">
        <f>Traffic_Ramp!D14</f>
        <v/>
      </c>
      <c r="I14" s="16">
        <f>Traffic_Ramp!D14*Assumptions!$B$11</f>
        <v/>
      </c>
      <c r="J14" s="19">
        <f>I14*Assumptions!$B$6</f>
        <v/>
      </c>
    </row>
    <row r="15">
      <c r="A15" s="3" t="inlineStr">
        <is>
          <t>M12</t>
        </is>
      </c>
      <c r="B15" s="15">
        <f>Traffic_Ramp!B15</f>
        <v/>
      </c>
      <c r="C15" s="16">
        <f>Traffic_Ramp!B15*Assumptions!$B$9</f>
        <v/>
      </c>
      <c r="D15" s="17">
        <f>C15*Assumptions!$B$6</f>
        <v/>
      </c>
      <c r="E15" s="15">
        <f>Traffic_Ramp!C15</f>
        <v/>
      </c>
      <c r="F15" s="16">
        <f>Traffic_Ramp!C15*Assumptions!$B$10</f>
        <v/>
      </c>
      <c r="G15" s="18">
        <f>F15*Assumptions!$B$6</f>
        <v/>
      </c>
      <c r="H15" s="15">
        <f>Traffic_Ramp!D15</f>
        <v/>
      </c>
      <c r="I15" s="16">
        <f>Traffic_Ramp!D15*Assumptions!$B$11</f>
        <v/>
      </c>
      <c r="J15" s="19">
        <f>I15*Assumptions!$B$6</f>
        <v/>
      </c>
    </row>
    <row r="16">
      <c r="A16" s="3" t="inlineStr">
        <is>
          <t>M13</t>
        </is>
      </c>
      <c r="B16" s="15">
        <f>Traffic_Ramp!B16</f>
        <v/>
      </c>
      <c r="C16" s="16">
        <f>Traffic_Ramp!B16*Assumptions!$B$9</f>
        <v/>
      </c>
      <c r="D16" s="17">
        <f>C16*Assumptions!$B$6</f>
        <v/>
      </c>
      <c r="E16" s="15">
        <f>Traffic_Ramp!C16</f>
        <v/>
      </c>
      <c r="F16" s="16">
        <f>Traffic_Ramp!C16*Assumptions!$B$10</f>
        <v/>
      </c>
      <c r="G16" s="18">
        <f>F16*Assumptions!$B$6</f>
        <v/>
      </c>
      <c r="H16" s="15">
        <f>Traffic_Ramp!D16</f>
        <v/>
      </c>
      <c r="I16" s="16">
        <f>Traffic_Ramp!D16*Assumptions!$B$11</f>
        <v/>
      </c>
      <c r="J16" s="19">
        <f>I16*Assumptions!$B$6</f>
        <v/>
      </c>
    </row>
    <row r="17">
      <c r="A17" s="3" t="inlineStr">
        <is>
          <t>M14</t>
        </is>
      </c>
      <c r="B17" s="15">
        <f>Traffic_Ramp!B17</f>
        <v/>
      </c>
      <c r="C17" s="16">
        <f>Traffic_Ramp!B17*Assumptions!$B$9</f>
        <v/>
      </c>
      <c r="D17" s="17">
        <f>C17*Assumptions!$B$6</f>
        <v/>
      </c>
      <c r="E17" s="15">
        <f>Traffic_Ramp!C17</f>
        <v/>
      </c>
      <c r="F17" s="16">
        <f>Traffic_Ramp!C17*Assumptions!$B$10</f>
        <v/>
      </c>
      <c r="G17" s="18">
        <f>F17*Assumptions!$B$6</f>
        <v/>
      </c>
      <c r="H17" s="15">
        <f>Traffic_Ramp!D17</f>
        <v/>
      </c>
      <c r="I17" s="16">
        <f>Traffic_Ramp!D17*Assumptions!$B$11</f>
        <v/>
      </c>
      <c r="J17" s="19">
        <f>I17*Assumptions!$B$6</f>
        <v/>
      </c>
    </row>
    <row r="18">
      <c r="A18" s="3" t="inlineStr">
        <is>
          <t>M15</t>
        </is>
      </c>
      <c r="B18" s="15">
        <f>Traffic_Ramp!B18</f>
        <v/>
      </c>
      <c r="C18" s="16">
        <f>Traffic_Ramp!B18*Assumptions!$B$9</f>
        <v/>
      </c>
      <c r="D18" s="17">
        <f>C18*Assumptions!$B$6</f>
        <v/>
      </c>
      <c r="E18" s="15">
        <f>Traffic_Ramp!C18</f>
        <v/>
      </c>
      <c r="F18" s="16">
        <f>Traffic_Ramp!C18*Assumptions!$B$10</f>
        <v/>
      </c>
      <c r="G18" s="18">
        <f>F18*Assumptions!$B$6</f>
        <v/>
      </c>
      <c r="H18" s="15">
        <f>Traffic_Ramp!D18</f>
        <v/>
      </c>
      <c r="I18" s="16">
        <f>Traffic_Ramp!D18*Assumptions!$B$11</f>
        <v/>
      </c>
      <c r="J18" s="19">
        <f>I18*Assumptions!$B$6</f>
        <v/>
      </c>
    </row>
    <row r="19">
      <c r="A19" s="3" t="inlineStr">
        <is>
          <t>M16</t>
        </is>
      </c>
      <c r="B19" s="15">
        <f>Traffic_Ramp!B19</f>
        <v/>
      </c>
      <c r="C19" s="16">
        <f>Traffic_Ramp!B19*Assumptions!$B$9</f>
        <v/>
      </c>
      <c r="D19" s="17">
        <f>C19*Assumptions!$B$6</f>
        <v/>
      </c>
      <c r="E19" s="15">
        <f>Traffic_Ramp!C19</f>
        <v/>
      </c>
      <c r="F19" s="16">
        <f>Traffic_Ramp!C19*Assumptions!$B$10</f>
        <v/>
      </c>
      <c r="G19" s="18">
        <f>F19*Assumptions!$B$6</f>
        <v/>
      </c>
      <c r="H19" s="15">
        <f>Traffic_Ramp!D19</f>
        <v/>
      </c>
      <c r="I19" s="16">
        <f>Traffic_Ramp!D19*Assumptions!$B$11</f>
        <v/>
      </c>
      <c r="J19" s="19">
        <f>I19*Assumptions!$B$6</f>
        <v/>
      </c>
    </row>
    <row r="20">
      <c r="A20" s="3" t="inlineStr">
        <is>
          <t>M17</t>
        </is>
      </c>
      <c r="B20" s="15">
        <f>Traffic_Ramp!B20</f>
        <v/>
      </c>
      <c r="C20" s="16">
        <f>Traffic_Ramp!B20*Assumptions!$B$9</f>
        <v/>
      </c>
      <c r="D20" s="17">
        <f>C20*Assumptions!$B$6</f>
        <v/>
      </c>
      <c r="E20" s="15">
        <f>Traffic_Ramp!C20</f>
        <v/>
      </c>
      <c r="F20" s="16">
        <f>Traffic_Ramp!C20*Assumptions!$B$10</f>
        <v/>
      </c>
      <c r="G20" s="18">
        <f>F20*Assumptions!$B$6</f>
        <v/>
      </c>
      <c r="H20" s="15">
        <f>Traffic_Ramp!D20</f>
        <v/>
      </c>
      <c r="I20" s="16">
        <f>Traffic_Ramp!D20*Assumptions!$B$11</f>
        <v/>
      </c>
      <c r="J20" s="19">
        <f>I20*Assumptions!$B$6</f>
        <v/>
      </c>
    </row>
    <row r="21">
      <c r="A21" s="3" t="inlineStr">
        <is>
          <t>M18</t>
        </is>
      </c>
      <c r="B21" s="15">
        <f>Traffic_Ramp!B21</f>
        <v/>
      </c>
      <c r="C21" s="16">
        <f>Traffic_Ramp!B21*Assumptions!$B$9</f>
        <v/>
      </c>
      <c r="D21" s="17">
        <f>C21*Assumptions!$B$6</f>
        <v/>
      </c>
      <c r="E21" s="15">
        <f>Traffic_Ramp!C21</f>
        <v/>
      </c>
      <c r="F21" s="16">
        <f>Traffic_Ramp!C21*Assumptions!$B$10</f>
        <v/>
      </c>
      <c r="G21" s="18">
        <f>F21*Assumptions!$B$6</f>
        <v/>
      </c>
      <c r="H21" s="15">
        <f>Traffic_Ramp!D21</f>
        <v/>
      </c>
      <c r="I21" s="16">
        <f>Traffic_Ramp!D21*Assumptions!$B$11</f>
        <v/>
      </c>
      <c r="J21" s="19">
        <f>I21*Assumptions!$B$6</f>
        <v/>
      </c>
    </row>
    <row r="22">
      <c r="A22" s="10" t="inlineStr">
        <is>
          <t>18-MO TOTAL</t>
        </is>
      </c>
      <c r="B22" s="11">
        <f>SUM(B4:B21)</f>
        <v/>
      </c>
      <c r="C22" s="20">
        <f>SUM(C4:C21)</f>
        <v/>
      </c>
      <c r="D22" s="7">
        <f>SUM(D4:D21)</f>
        <v/>
      </c>
      <c r="E22" s="11">
        <f>SUM(E4:E21)</f>
        <v/>
      </c>
      <c r="F22" s="20">
        <f>SUM(F4:F21)</f>
        <v/>
      </c>
      <c r="G22" s="7">
        <f>SUM(G4:G21)</f>
        <v/>
      </c>
      <c r="H22" s="11">
        <f>SUM(H4:H21)</f>
        <v/>
      </c>
      <c r="I22" s="20">
        <f>SUM(I4:I21)</f>
        <v/>
      </c>
      <c r="J22" s="7">
        <f>SUM(J4:J21)</f>
        <v/>
      </c>
    </row>
    <row r="23">
      <c r="A23" s="3" t="inlineStr">
        <is>
          <t>M18 run-rate (orders/wk)</t>
        </is>
      </c>
      <c r="D23" s="21">
        <f>C21/4.33</f>
        <v/>
      </c>
      <c r="G23" s="21">
        <f>F21/4.33</f>
        <v/>
      </c>
      <c r="J23" s="21">
        <f>I21/4.33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WHY THE 18-MONTH NUMBER UNDERSTATES IT (the content is feeding these)</t>
        </is>
      </c>
    </row>
    <row r="2"/>
    <row r="3">
      <c r="A3" s="22" t="inlineStr">
        <is>
          <t>1. COMPOUNDING TRAFFIC ASSET</t>
        </is>
      </c>
    </row>
    <row r="4">
      <c r="A4" s="23" t="inlineStr">
        <is>
          <t xml:space="preserve">   M18 sessions are the launch pad for Year 2-3; same content typically 2-3x's with no extra spend.</t>
        </is>
      </c>
    </row>
    <row r="5">
      <c r="A5" s="23" t="inlineStr">
        <is>
          <t xml:space="preserve">   The 18-mo revenue is the bottom of the curve, not the plateau.</t>
        </is>
      </c>
    </row>
    <row r="6">
      <c r="A6" s="23" t="inlineStr"/>
    </row>
    <row r="7">
      <c r="A7" s="22" t="inlineStr">
        <is>
          <t>2. PRE-QUALIFIED CQC / TRT COHORT  (quantified below)</t>
        </is>
      </c>
    </row>
    <row r="8">
      <c r="A8" s="23" t="inlineStr">
        <is>
          <t xml:space="preserve">   Every kit customer is a warm lead for TRT at ~80% margin post-CQC. Most of this lands JUST past 18 months.</t>
        </is>
      </c>
    </row>
    <row r="9">
      <c r="A9" s="23" t="inlineStr"/>
    </row>
    <row r="10">
      <c r="A10" s="22" t="inlineStr">
        <is>
          <t>3. AI-CITATION UPSIDE (Pillar F)  — unmodellable; if the original-data + Ewa E-E-A-T play lands it's a step-change.</t>
        </is>
      </c>
    </row>
    <row r="11"/>
    <row r="12">
      <c r="A12" s="2" t="inlineStr">
        <is>
          <t>Downstream TRT value from the 18-mo cohort</t>
        </is>
      </c>
      <c r="B12" s="2" t="inlineStr">
        <is>
          <t>Conservative</t>
        </is>
      </c>
      <c r="C12" s="2" t="inlineStr">
        <is>
          <t>Base</t>
        </is>
      </c>
      <c r="D12" s="2" t="inlineStr">
        <is>
          <t>Strong</t>
        </is>
      </c>
    </row>
    <row r="13">
      <c r="A13" s="3" t="inlineStr">
        <is>
          <t>18-mo kit customers (from Forecast)</t>
        </is>
      </c>
      <c r="B13" s="15">
        <f>Forecast!C22</f>
        <v/>
      </c>
      <c r="C13" s="15">
        <f>Forecast!F22</f>
        <v/>
      </c>
      <c r="D13" s="15">
        <f>Forecast!I22</f>
        <v/>
      </c>
    </row>
    <row r="14">
      <c r="A14" s="3" t="inlineStr">
        <is>
          <t>-&gt; annual TRT revenue if cohort converts</t>
        </is>
      </c>
      <c r="B14" s="7">
        <f>B13*Assumptions!$B$14*Assumptions!$B$15*Assumptions!$B$16</f>
        <v/>
      </c>
      <c r="C14" s="7">
        <f>C13*Assumptions!$B$14*Assumptions!$B$15*Assumptions!$B$16</f>
        <v/>
      </c>
      <c r="D14" s="7">
        <f>D13*Assumptions!$B$14*Assumptions!$B$15*Assumptions!$B$16</f>
        <v/>
      </c>
    </row>
    <row r="15"/>
    <row r="16">
      <c r="A16" s="23" t="inlineStr">
        <is>
          <t>Illustrative annual recurring TRT revenue the wellness cohort seeds (lands post-CQC, mostly beyond month 18).</t>
        </is>
      </c>
    </row>
    <row r="17">
      <c r="A17" s="23" t="inlineStr">
        <is>
          <t>Compare to the 18-mo direct kit line on Forecast — the recurring clinical line is the larger prize.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2026-05-30T23:40:23Z</dcterms:created>
  <dcterms:modified xsi:type="dcterms:W3CDTF">2026-05-30T23:40:23Z</dcterms:modified>
</cp:coreProperties>
</file>