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Operating Costs" sheetId="2" state="visible" r:id="rId4"/>
    <sheet name="6-Month P&amp;L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<sst xmlns="http://schemas.openxmlformats.org/spreadsheetml/2006/main" count="160" uniqueCount="145">
  <si>
    <t xml:space="preserve">ANDRO PRIME — PHASE 0 FINANCIAL MODEL</t>
  </si>
  <si>
    <t xml:space="preserve">Non-Regulated Tier | Updated with Vitall Lab Pricing | April 2026</t>
  </si>
  <si>
    <t xml:space="preserve">LAB COGS (Vitall — Finger-Prick)</t>
  </si>
  <si>
    <t xml:space="preserve">COGS (Vitall)</t>
  </si>
  <si>
    <t xml:space="preserve">Retail Price</t>
  </si>
  <si>
    <t xml:space="preserve">Gross Margin £</t>
  </si>
  <si>
    <t xml:space="preserve">Gross Margin %</t>
  </si>
  <si>
    <t xml:space="preserve">Kit 1 — Hormone Check</t>
  </si>
  <si>
    <t xml:space="preserve">Kit 2 — Energy &amp; Metabolism</t>
  </si>
  <si>
    <t xml:space="preserve">Kit 3 — Combo Test</t>
  </si>
  <si>
    <t xml:space="preserve">SUPPLEMENT UNIT ECONOMICS (Market Research Est.)</t>
  </si>
  <si>
    <t xml:space="preserve">COGS (Est.)</t>
  </si>
  <si>
    <t xml:space="preserve">Sub Price /mo</t>
  </si>
  <si>
    <t xml:space="preserve">Daily Stack</t>
  </si>
  <si>
    <t xml:space="preserve">Joint &amp; Recovery Collagen</t>
  </si>
  <si>
    <t xml:space="preserve">Complete Stack (Bundle)</t>
  </si>
  <si>
    <t xml:space="preserve">KEY PLANNING ASSUMPTIONS</t>
  </si>
  <si>
    <t xml:space="preserve">Assumption</t>
  </si>
  <si>
    <t xml:space="preserve">Value</t>
  </si>
  <si>
    <t xml:space="preserve">Notes</t>
  </si>
  <si>
    <t xml:space="preserve">Payment processing (Stripe)</t>
  </si>
  <si>
    <t xml:space="preserve">Applied to all revenue</t>
  </si>
  <si>
    <t xml:space="preserve">Affiliate commission rate</t>
  </si>
  <si>
    <t xml:space="preserve">20% on affiliate-driven sales</t>
  </si>
  <si>
    <t xml:space="preserve">Affiliate mix (% of kit sales)</t>
  </si>
  <si>
    <t xml:space="preserve">Target from marketing plan</t>
  </si>
  <si>
    <t xml:space="preserve">Kit-to-supplement conversion</t>
  </si>
  <si>
    <t xml:space="preserve">12% planning case (V7.1 range: 10-15%)</t>
  </si>
  <si>
    <t xml:space="preserve">Supplement monthly churn</t>
  </si>
  <si>
    <t xml:space="preserve">3% monthly (marketing plan target)</t>
  </si>
  <si>
    <t xml:space="preserve">Founding member deposits</t>
  </si>
  <si>
    <t xml:space="preserve">£75 per deposit</t>
  </si>
  <si>
    <t xml:space="preserve">Low-T rate (Kit 1 + Kit 3 buyers)</t>
  </si>
  <si>
    <t xml:space="preserve">35% of testosterone-tested men</t>
  </si>
  <si>
    <t xml:space="preserve">Deposit conversion (of low-T results)</t>
  </si>
  <si>
    <t xml:space="preserve">50% of low-T results deposit</t>
  </si>
  <si>
    <t xml:space="preserve">MARGIN IMPACT ANALYSIS</t>
  </si>
  <si>
    <t xml:space="preserve">Kit 1</t>
  </si>
  <si>
    <t xml:space="preserve">Kit 2</t>
  </si>
  <si>
    <t xml:space="preserve">Kit 3</t>
  </si>
  <si>
    <t xml:space="preserve">COGS</t>
  </si>
  <si>
    <t xml:space="preserve">Gross Margin</t>
  </si>
  <si>
    <t xml:space="preserve">Less: Payment Processing (2.5%)</t>
  </si>
  <si>
    <t xml:space="preserve">Net Direct Margin</t>
  </si>
  <si>
    <t xml:space="preserve">Net Direct Margin %</t>
  </si>
  <si>
    <t xml:space="preserve">Less: Affiliate Commission (20%)</t>
  </si>
  <si>
    <t xml:space="preserve">Net Affiliate Margin</t>
  </si>
  <si>
    <t xml:space="preserve">Net Affiliate Margin %</t>
  </si>
  <si>
    <t xml:space="preserve">Blended Margin (30% affiliate mix)</t>
  </si>
  <si>
    <t xml:space="preserve">Blended Margin %</t>
  </si>
  <si>
    <t xml:space="preserve">MONTHLY OPERATING COSTS — PHASE 0</t>
  </si>
  <si>
    <t xml:space="preserve">Excludes COGS, paid media, and affiliate commissions (modelled separately)</t>
  </si>
  <si>
    <t xml:space="preserve">Cost Item</t>
  </si>
  <si>
    <t xml:space="preserve">Monthly £</t>
  </si>
  <si>
    <t xml:space="preserve">PLATFORM &amp; SOFTWARE</t>
  </si>
  <si>
    <t xml:space="preserve">Website hosting (Vercel/similar)</t>
  </si>
  <si>
    <t xml:space="preserve">Free tier initially, scales to ~£25</t>
  </si>
  <si>
    <t xml:space="preserve">Domain &amp; SSL</t>
  </si>
  <si>
    <t xml:space="preserve">~£60/year</t>
  </si>
  <si>
    <t xml:space="preserve">Email/CRM — Customer.io</t>
  </si>
  <si>
    <t xml:space="preserve">Essentials plan for &lt;1k contacts</t>
  </si>
  <si>
    <t xml:space="preserve">Design tools (Canva Pro)</t>
  </si>
  <si>
    <t xml:space="preserve">£155/year</t>
  </si>
  <si>
    <t xml:space="preserve">Analytics (GA4 + Hotjar free)</t>
  </si>
  <si>
    <t xml:space="preserve">Free tiers</t>
  </si>
  <si>
    <t xml:space="preserve">FINANCE &amp; LEGAL</t>
  </si>
  <si>
    <t xml:space="preserve">Bookkeeping / accountant</t>
  </si>
  <si>
    <t xml:space="preserve">Monthly retainer — basic Ltd accounts</t>
  </si>
  <si>
    <t xml:space="preserve">Modelled as 2.5% of revenue in P&amp;L</t>
  </si>
  <si>
    <t xml:space="preserve">Company insurance (product liability)</t>
  </si>
  <si>
    <t xml:space="preserve">~£900/year for supplement + wellness products</t>
  </si>
  <si>
    <t xml:space="preserve">OPERATIONS</t>
  </si>
  <si>
    <t xml:space="preserve">Customer support tools (Zendesk/Crisp)</t>
  </si>
  <si>
    <t xml:space="preserve">Starter plan</t>
  </si>
  <si>
    <t xml:space="preserve">Phone/comms</t>
  </si>
  <si>
    <t xml:space="preserve">Business mobile + VoIP</t>
  </si>
  <si>
    <t xml:space="preserve">Postage/misc fulfilment overhead</t>
  </si>
  <si>
    <t xml:space="preserve">Returns, replacements, failed samples</t>
  </si>
  <si>
    <t xml:space="preserve">COMPLIANCE &amp; REGULATORY</t>
  </si>
  <si>
    <t xml:space="preserve">FSA / label compliance review</t>
  </si>
  <si>
    <t xml:space="preserve">~£500/year — periodic review</t>
  </si>
  <si>
    <t xml:space="preserve">Data protection (ICO fee)</t>
  </si>
  <si>
    <t xml:space="preserve">£35/year Tier 1</t>
  </si>
  <si>
    <t xml:space="preserve">FOUNDER COST (optional — opportunity cost)</t>
  </si>
  <si>
    <t xml:space="preserve">Keith time (not cash, but track it)</t>
  </si>
  <si>
    <t xml:space="preserve">Unpaid initially — track hours for true cost</t>
  </si>
  <si>
    <t xml:space="preserve">TOTAL MONTHLY FIXED OVERHEAD</t>
  </si>
  <si>
    <t xml:space="preserve">ANNUAL EQUIVALENT</t>
  </si>
  <si>
    <t xml:space="preserve">PHASE 0 — 6-MONTH PROFIT &amp; LOSS</t>
  </si>
  <si>
    <t xml:space="preserve">Planning Case | Finger-Prick Kits | Vitall Lab Partner</t>
  </si>
  <si>
    <t xml:space="preserve">Month 1</t>
  </si>
  <si>
    <t xml:space="preserve">Month 2</t>
  </si>
  <si>
    <t xml:space="preserve">Month 3</t>
  </si>
  <si>
    <t xml:space="preserve">Month 4</t>
  </si>
  <si>
    <t xml:space="preserve">Month 5</t>
  </si>
  <si>
    <t xml:space="preserve">Month 6</t>
  </si>
  <si>
    <t xml:space="preserve">6-Mo Total</t>
  </si>
  <si>
    <t xml:space="preserve">KIT SALES VOLUME</t>
  </si>
  <si>
    <t xml:space="preserve">Total Kits Sold</t>
  </si>
  <si>
    <t xml:space="preserve">Cumulative Kits</t>
  </si>
  <si>
    <t xml:space="preserve">KIT REVENUE</t>
  </si>
  <si>
    <t xml:space="preserve">Kit 1 Revenue</t>
  </si>
  <si>
    <t xml:space="preserve">Kit 2 Revenue</t>
  </si>
  <si>
    <t xml:space="preserve">Kit 3 Revenue</t>
  </si>
  <si>
    <t xml:space="preserve">Total Kit Revenue</t>
  </si>
  <si>
    <t xml:space="preserve">KIT COGS</t>
  </si>
  <si>
    <t xml:space="preserve">Kit 1 COGS</t>
  </si>
  <si>
    <t xml:space="preserve">Kit 2 COGS</t>
  </si>
  <si>
    <t xml:space="preserve">Kit 3 COGS</t>
  </si>
  <si>
    <t xml:space="preserve">Total Kit COGS</t>
  </si>
  <si>
    <t xml:space="preserve">Kit Gross Profit</t>
  </si>
  <si>
    <t xml:space="preserve">Kit Gross Margin %</t>
  </si>
  <si>
    <t xml:space="preserve">SUPPLEMENT SUBSCRIBERS</t>
  </si>
  <si>
    <t xml:space="preserve">New subscribers (from kit conversion)</t>
  </si>
  <si>
    <t xml:space="preserve">Churned subscribers</t>
  </si>
  <si>
    <t xml:space="preserve">Active Subscribers (end of month)</t>
  </si>
  <si>
    <t xml:space="preserve">SUPPLEMENT FINANCIALS</t>
  </si>
  <si>
    <t xml:space="preserve">Supplement Revenue</t>
  </si>
  <si>
    <t xml:space="preserve">Supplement COGS</t>
  </si>
  <si>
    <t xml:space="preserve">Supplement Gross Profit</t>
  </si>
  <si>
    <t xml:space="preserve">FOUNDING MEMBER DEPOSITS</t>
  </si>
  <si>
    <t xml:space="preserve">Testosterone kits sold (Kit 1 + Kit 3)</t>
  </si>
  <si>
    <t xml:space="preserve">Low-T results (35%)</t>
  </si>
  <si>
    <t xml:space="preserve">Deposits secured (50% of low-T)</t>
  </si>
  <si>
    <t xml:space="preserve">Deposit Revenue</t>
  </si>
  <si>
    <t xml:space="preserve">TOTAL REVENUE</t>
  </si>
  <si>
    <t xml:space="preserve">Kit Revenue</t>
  </si>
  <si>
    <t xml:space="preserve">TOTAL COGS</t>
  </si>
  <si>
    <t xml:space="preserve">Kit COGS</t>
  </si>
  <si>
    <t xml:space="preserve">GROSS PROFIT</t>
  </si>
  <si>
    <t xml:space="preserve">OPERATING EXPENSES</t>
  </si>
  <si>
    <t xml:space="preserve">Fixed Overhead (from Op Costs tab)</t>
  </si>
  <si>
    <t xml:space="preserve">Paid Media (Marketing Budget)</t>
  </si>
  <si>
    <t xml:space="preserve">Payment Processing (2.5% of revenue)</t>
  </si>
  <si>
    <t xml:space="preserve">Affiliate Commissions (20% on affiliate sales)</t>
  </si>
  <si>
    <t xml:space="preserve">TOTAL OPERATING EXPENSES</t>
  </si>
  <si>
    <t xml:space="preserve">NET CONTRIBUTION (Gross Profit - OpEx)</t>
  </si>
  <si>
    <t xml:space="preserve">Net Margin %</t>
  </si>
  <si>
    <t xml:space="preserve">CUMULATIVE POSITION</t>
  </si>
  <si>
    <t xml:space="preserve">Launch Capital Required</t>
  </si>
  <si>
    <t xml:space="preserve">Cumulative Net Cash Position</t>
  </si>
  <si>
    <t xml:space="preserve">KEY METRICS</t>
  </si>
  <si>
    <t xml:space="preserve">CAC (Paid Media / Kits Sold)</t>
  </si>
  <si>
    <t xml:space="preserve">Revenue per Kit (blended)</t>
  </si>
  <si>
    <t xml:space="preserve">Supplement MRR (end of month)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</si>
</sst>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£#,##0.00"/>
    <numFmt numFmtId="166" formatCode="0.0%"/>
    <numFmt numFmtId="167" formatCode="\£#,##0"/>
    <numFmt numFmtId="168" formatCode="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i val="true"/>
      <sz val="10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2D3748"/>
        <bgColor rgb="FF333300"/>
      </patternFill>
    </fill>
    <fill>
      <patternFill patternType="solid">
        <fgColor rgb="FFFFFF00"/>
        <bgColor rgb="FFFFFF00"/>
      </patternFill>
    </fill>
    <fill>
      <patternFill patternType="solid">
        <fgColor rgb="FFD9E2F3"/>
        <bgColor rgb="FFE2EFDA"/>
      </patternFill>
    </fill>
    <fill>
      <patternFill patternType="solid">
        <fgColor rgb="FFE2EFDA"/>
        <bgColor rgb="FFD9E2F3"/>
      </patternFill>
    </fill>
    <fill>
      <patternFill patternType="solid">
        <fgColor rgb="FFFCE4EC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E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ED7D31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2D374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E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5" min="2" style="0" width="18"/>
    <col collapsed="false" customWidth="true" hidden="false" outlineLevel="0" max="6" min="6" style="0" width="2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/>
      <c r="B5" s="4" t="s">
        <v>3</v>
      </c>
      <c r="C5" s="4" t="s">
        <v>4</v>
      </c>
      <c r="D5" s="4" t="s">
        <v>5</v>
      </c>
      <c r="E5" s="4" t="s">
        <v>6</v>
      </c>
    </row>
    <row r="6" customFormat="false" ht="15" hidden="false" customHeight="false" outlineLevel="0" collapsed="false">
      <c r="A6" s="5" t="s">
        <v>7</v>
      </c>
      <c r="B6" s="6" t="n">
        <v>58.5</v>
      </c>
      <c r="C6" s="7" t="n">
        <v>89</v>
      </c>
      <c r="D6" s="8" t="n">
        <f aca="false">C6-B6</f>
        <v>30.5</v>
      </c>
      <c r="E6" s="9" t="n">
        <f aca="false">D6/C6</f>
        <v>0.342696629213483</v>
      </c>
    </row>
    <row r="7" customFormat="false" ht="15" hidden="false" customHeight="false" outlineLevel="0" collapsed="false">
      <c r="A7" s="5" t="s">
        <v>8</v>
      </c>
      <c r="B7" s="6" t="n">
        <v>63</v>
      </c>
      <c r="C7" s="7" t="n">
        <v>99</v>
      </c>
      <c r="D7" s="8" t="n">
        <f aca="false">C7-B7</f>
        <v>36</v>
      </c>
      <c r="E7" s="9" t="n">
        <f aca="false">D7/C7</f>
        <v>0.363636363636364</v>
      </c>
    </row>
    <row r="8" customFormat="false" ht="15" hidden="false" customHeight="false" outlineLevel="0" collapsed="false">
      <c r="A8" s="5" t="s">
        <v>9</v>
      </c>
      <c r="B8" s="6" t="n">
        <v>98</v>
      </c>
      <c r="C8" s="7" t="n">
        <v>149</v>
      </c>
      <c r="D8" s="8" t="n">
        <f aca="false">C8-B8</f>
        <v>51</v>
      </c>
      <c r="E8" s="9" t="n">
        <f aca="false">D8/C8</f>
        <v>0.342281879194631</v>
      </c>
    </row>
    <row r="10" customFormat="false" ht="15" hidden="false" customHeight="false" outlineLevel="0" collapsed="false">
      <c r="A10" s="3" t="s">
        <v>10</v>
      </c>
    </row>
    <row r="11" customFormat="false" ht="15" hidden="false" customHeight="false" outlineLevel="0" collapsed="false">
      <c r="A11" s="4"/>
      <c r="B11" s="4" t="s">
        <v>11</v>
      </c>
      <c r="C11" s="4" t="s">
        <v>12</v>
      </c>
      <c r="D11" s="4" t="s">
        <v>5</v>
      </c>
      <c r="E11" s="4" t="s">
        <v>6</v>
      </c>
    </row>
    <row r="12" customFormat="false" ht="15" hidden="false" customHeight="false" outlineLevel="0" collapsed="false">
      <c r="A12" s="5" t="s">
        <v>13</v>
      </c>
      <c r="B12" s="10" t="n">
        <v>15</v>
      </c>
      <c r="C12" s="6" t="n">
        <v>34.95</v>
      </c>
      <c r="D12" s="8" t="n">
        <f aca="false">C12-B12</f>
        <v>19.95</v>
      </c>
      <c r="E12" s="9" t="n">
        <f aca="false">D12/C12</f>
        <v>0.570815450643777</v>
      </c>
    </row>
    <row r="13" customFormat="false" ht="15" hidden="false" customHeight="false" outlineLevel="0" collapsed="false">
      <c r="A13" s="5" t="s">
        <v>14</v>
      </c>
      <c r="B13" s="10" t="n">
        <v>13</v>
      </c>
      <c r="C13" s="6" t="n">
        <v>29.95</v>
      </c>
      <c r="D13" s="8" t="n">
        <f aca="false">C13-B13</f>
        <v>16.95</v>
      </c>
      <c r="E13" s="9" t="n">
        <f aca="false">D13/C13</f>
        <v>0.565943238731219</v>
      </c>
    </row>
    <row r="14" customFormat="false" ht="15" hidden="false" customHeight="false" outlineLevel="0" collapsed="false">
      <c r="A14" s="5" t="s">
        <v>15</v>
      </c>
      <c r="B14" s="8" t="n">
        <f aca="false">B12+B13</f>
        <v>28</v>
      </c>
      <c r="C14" s="6" t="n">
        <v>54.95</v>
      </c>
      <c r="D14" s="8" t="n">
        <f aca="false">C14-B14</f>
        <v>26.95</v>
      </c>
      <c r="E14" s="9" t="n">
        <f aca="false">D14/C14</f>
        <v>0.490445859872611</v>
      </c>
    </row>
    <row r="16" customFormat="false" ht="15" hidden="false" customHeight="false" outlineLevel="0" collapsed="false">
      <c r="A16" s="3" t="s">
        <v>16</v>
      </c>
    </row>
    <row r="17" customFormat="false" ht="15" hidden="false" customHeight="false" outlineLevel="0" collapsed="false">
      <c r="A17" s="4" t="s">
        <v>17</v>
      </c>
      <c r="B17" s="4" t="s">
        <v>18</v>
      </c>
      <c r="C17" s="4" t="s">
        <v>19</v>
      </c>
    </row>
    <row r="18" customFormat="false" ht="15" hidden="false" customHeight="false" outlineLevel="0" collapsed="false">
      <c r="A18" s="5" t="s">
        <v>20</v>
      </c>
      <c r="B18" s="11" t="n">
        <v>0.025</v>
      </c>
      <c r="C18" s="12" t="s">
        <v>21</v>
      </c>
    </row>
    <row r="19" customFormat="false" ht="15" hidden="false" customHeight="false" outlineLevel="0" collapsed="false">
      <c r="A19" s="5" t="s">
        <v>22</v>
      </c>
      <c r="B19" s="11" t="n">
        <v>0.2</v>
      </c>
      <c r="C19" s="12" t="s">
        <v>23</v>
      </c>
    </row>
    <row r="20" customFormat="false" ht="15" hidden="false" customHeight="false" outlineLevel="0" collapsed="false">
      <c r="A20" s="5" t="s">
        <v>24</v>
      </c>
      <c r="B20" s="11" t="n">
        <v>0.3</v>
      </c>
      <c r="C20" s="12" t="s">
        <v>25</v>
      </c>
    </row>
    <row r="21" customFormat="false" ht="15" hidden="false" customHeight="false" outlineLevel="0" collapsed="false">
      <c r="A21" s="5" t="s">
        <v>26</v>
      </c>
      <c r="B21" s="11" t="n">
        <v>0.12</v>
      </c>
      <c r="C21" s="12" t="s">
        <v>27</v>
      </c>
    </row>
    <row r="22" customFormat="false" ht="15" hidden="false" customHeight="false" outlineLevel="0" collapsed="false">
      <c r="A22" s="5" t="s">
        <v>28</v>
      </c>
      <c r="B22" s="11" t="n">
        <v>0.03</v>
      </c>
      <c r="C22" s="12" t="s">
        <v>29</v>
      </c>
    </row>
    <row r="23" customFormat="false" ht="15" hidden="false" customHeight="false" outlineLevel="0" collapsed="false">
      <c r="A23" s="5" t="s">
        <v>30</v>
      </c>
      <c r="B23" s="13" t="n">
        <v>75</v>
      </c>
      <c r="C23" s="12" t="s">
        <v>31</v>
      </c>
    </row>
    <row r="24" customFormat="false" ht="15" hidden="false" customHeight="false" outlineLevel="0" collapsed="false">
      <c r="A24" s="5" t="s">
        <v>32</v>
      </c>
      <c r="B24" s="11" t="n">
        <v>0.35</v>
      </c>
      <c r="C24" s="12" t="s">
        <v>33</v>
      </c>
    </row>
    <row r="25" customFormat="false" ht="15" hidden="false" customHeight="false" outlineLevel="0" collapsed="false">
      <c r="A25" s="5" t="s">
        <v>34</v>
      </c>
      <c r="B25" s="11" t="n">
        <v>0.5</v>
      </c>
      <c r="C25" s="12" t="s">
        <v>35</v>
      </c>
    </row>
    <row r="27" customFormat="false" ht="15" hidden="false" customHeight="false" outlineLevel="0" collapsed="false">
      <c r="A27" s="3" t="s">
        <v>36</v>
      </c>
    </row>
    <row r="28" customFormat="false" ht="15" hidden="false" customHeight="false" outlineLevel="0" collapsed="false">
      <c r="A28" s="4"/>
      <c r="B28" s="4" t="s">
        <v>37</v>
      </c>
      <c r="C28" s="4" t="s">
        <v>38</v>
      </c>
      <c r="D28" s="4" t="s">
        <v>39</v>
      </c>
    </row>
    <row r="29" customFormat="false" ht="15" hidden="false" customHeight="false" outlineLevel="0" collapsed="false">
      <c r="A29" s="5" t="s">
        <v>4</v>
      </c>
      <c r="B29" s="14" t="n">
        <f aca="false">C6</f>
        <v>89</v>
      </c>
      <c r="C29" s="14" t="n">
        <f aca="false">C7</f>
        <v>99</v>
      </c>
      <c r="D29" s="14" t="n">
        <f aca="false">C8</f>
        <v>149</v>
      </c>
    </row>
    <row r="30" customFormat="false" ht="15" hidden="false" customHeight="false" outlineLevel="0" collapsed="false">
      <c r="A30" s="5" t="s">
        <v>40</v>
      </c>
      <c r="B30" s="14" t="n">
        <f aca="false">B6</f>
        <v>58.5</v>
      </c>
      <c r="C30" s="14" t="n">
        <f aca="false">B7</f>
        <v>63</v>
      </c>
      <c r="D30" s="14" t="n">
        <f aca="false">B8</f>
        <v>98</v>
      </c>
    </row>
    <row r="31" customFormat="false" ht="15" hidden="false" customHeight="false" outlineLevel="0" collapsed="false">
      <c r="A31" s="15" t="s">
        <v>41</v>
      </c>
      <c r="B31" s="16" t="n">
        <f aca="false">B29-B30</f>
        <v>30.5</v>
      </c>
      <c r="C31" s="16" t="n">
        <f aca="false">C29-C30</f>
        <v>36</v>
      </c>
      <c r="D31" s="16" t="n">
        <f aca="false">D29-D30</f>
        <v>51</v>
      </c>
    </row>
    <row r="32" customFormat="false" ht="15" hidden="false" customHeight="false" outlineLevel="0" collapsed="false">
      <c r="A32" s="5" t="s">
        <v>6</v>
      </c>
      <c r="B32" s="17" t="n">
        <f aca="false">B31/B29</f>
        <v>0.342696629213483</v>
      </c>
      <c r="C32" s="17" t="n">
        <f aca="false">C31/C29</f>
        <v>0.363636363636364</v>
      </c>
      <c r="D32" s="17" t="n">
        <f aca="false">D31/D29</f>
        <v>0.342281879194631</v>
      </c>
    </row>
    <row r="33" customFormat="false" ht="15" hidden="false" customHeight="false" outlineLevel="0" collapsed="false">
      <c r="A33" s="5" t="s">
        <v>42</v>
      </c>
      <c r="B33" s="18" t="n">
        <f aca="false">B29*$B$18</f>
        <v>2.225</v>
      </c>
      <c r="C33" s="18" t="n">
        <f aca="false">C29*$B$18</f>
        <v>2.475</v>
      </c>
      <c r="D33" s="18" t="n">
        <f aca="false">D29*$B$18</f>
        <v>3.725</v>
      </c>
    </row>
    <row r="34" customFormat="false" ht="15" hidden="false" customHeight="false" outlineLevel="0" collapsed="false">
      <c r="A34" s="15" t="s">
        <v>43</v>
      </c>
      <c r="B34" s="16" t="n">
        <f aca="false">B31-B33</f>
        <v>28.275</v>
      </c>
      <c r="C34" s="16" t="n">
        <f aca="false">C31-C33</f>
        <v>33.525</v>
      </c>
      <c r="D34" s="16" t="n">
        <f aca="false">D31-D33</f>
        <v>47.275</v>
      </c>
    </row>
    <row r="35" customFormat="false" ht="15" hidden="false" customHeight="false" outlineLevel="0" collapsed="false">
      <c r="A35" s="5" t="s">
        <v>44</v>
      </c>
      <c r="B35" s="17" t="n">
        <f aca="false">B34/B29</f>
        <v>0.317696629213483</v>
      </c>
      <c r="C35" s="17" t="n">
        <f aca="false">C34/C29</f>
        <v>0.338636363636364</v>
      </c>
      <c r="D35" s="17" t="n">
        <f aca="false">D34/D29</f>
        <v>0.317281879194631</v>
      </c>
    </row>
    <row r="36" customFormat="false" ht="15" hidden="false" customHeight="false" outlineLevel="0" collapsed="false">
      <c r="A36" s="5"/>
      <c r="B36" s="18"/>
      <c r="C36" s="18"/>
      <c r="D36" s="18"/>
    </row>
    <row r="37" customFormat="false" ht="15" hidden="false" customHeight="false" outlineLevel="0" collapsed="false">
      <c r="A37" s="5" t="s">
        <v>45</v>
      </c>
      <c r="B37" s="18" t="n">
        <f aca="false">B29*$B$19</f>
        <v>17.8</v>
      </c>
      <c r="C37" s="18" t="n">
        <f aca="false">C29*$B$19</f>
        <v>19.8</v>
      </c>
      <c r="D37" s="18" t="n">
        <f aca="false">D29*$B$19</f>
        <v>29.8</v>
      </c>
    </row>
    <row r="38" customFormat="false" ht="15" hidden="false" customHeight="false" outlineLevel="0" collapsed="false">
      <c r="A38" s="15" t="s">
        <v>46</v>
      </c>
      <c r="B38" s="16" t="n">
        <f aca="false">B31-B33-B37</f>
        <v>10.475</v>
      </c>
      <c r="C38" s="16" t="n">
        <f aca="false">C31-C33-C37</f>
        <v>13.725</v>
      </c>
      <c r="D38" s="16" t="n">
        <f aca="false">D31-D33-D37</f>
        <v>17.475</v>
      </c>
    </row>
    <row r="39" customFormat="false" ht="15" hidden="false" customHeight="false" outlineLevel="0" collapsed="false">
      <c r="A39" s="5" t="s">
        <v>47</v>
      </c>
      <c r="B39" s="17" t="n">
        <f aca="false">B38/B29</f>
        <v>0.117696629213483</v>
      </c>
      <c r="C39" s="17" t="n">
        <f aca="false">C38/C29</f>
        <v>0.138636363636364</v>
      </c>
      <c r="D39" s="17" t="n">
        <f aca="false">D38/D29</f>
        <v>0.117281879194631</v>
      </c>
    </row>
    <row r="40" customFormat="false" ht="15" hidden="false" customHeight="false" outlineLevel="0" collapsed="false">
      <c r="A40" s="5"/>
      <c r="B40" s="18"/>
      <c r="C40" s="18"/>
      <c r="D40" s="18"/>
    </row>
    <row r="41" customFormat="false" ht="15" hidden="false" customHeight="false" outlineLevel="0" collapsed="false">
      <c r="A41" s="15" t="s">
        <v>48</v>
      </c>
      <c r="B41" s="16" t="n">
        <f aca="false">(1-$B$20)*B34+$B$20*B38</f>
        <v>22.935</v>
      </c>
      <c r="C41" s="16" t="n">
        <f aca="false">(1-$B$20)*C34+$B$20*C38</f>
        <v>27.585</v>
      </c>
      <c r="D41" s="16" t="n">
        <f aca="false">(1-$B$20)*D34+$B$20*D38</f>
        <v>38.335</v>
      </c>
    </row>
    <row r="42" customFormat="false" ht="15" hidden="false" customHeight="false" outlineLevel="0" collapsed="false">
      <c r="A42" s="5" t="s">
        <v>49</v>
      </c>
      <c r="B42" s="17" t="n">
        <f aca="false">B41/B29</f>
        <v>0.257696629213483</v>
      </c>
      <c r="C42" s="17" t="n">
        <f aca="false">C41/C29</f>
        <v>0.278636363636364</v>
      </c>
      <c r="D42" s="17" t="n">
        <f aca="false">D41/D29</f>
        <v>0.257281879194631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C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8"/>
    <col collapsed="false" customWidth="true" hidden="false" outlineLevel="0" max="3" min="3" style="0" width="30"/>
  </cols>
  <sheetData>
    <row r="1" customFormat="false" ht="17.35" hidden="false" customHeight="false" outlineLevel="0" collapsed="false">
      <c r="A1" s="1" t="s">
        <v>50</v>
      </c>
    </row>
    <row r="2" customFormat="false" ht="15" hidden="false" customHeight="false" outlineLevel="0" collapsed="false">
      <c r="A2" s="19" t="s">
        <v>51</v>
      </c>
    </row>
    <row r="4" customFormat="false" ht="15" hidden="false" customHeight="false" outlineLevel="0" collapsed="false">
      <c r="A4" s="4" t="s">
        <v>52</v>
      </c>
      <c r="B4" s="4" t="s">
        <v>53</v>
      </c>
      <c r="C4" s="4" t="s">
        <v>19</v>
      </c>
    </row>
    <row r="5" customFormat="false" ht="15" hidden="false" customHeight="false" outlineLevel="0" collapsed="false">
      <c r="A5" s="20" t="s">
        <v>54</v>
      </c>
      <c r="B5" s="5"/>
      <c r="C5" s="5"/>
    </row>
    <row r="6" customFormat="false" ht="15" hidden="false" customHeight="false" outlineLevel="0" collapsed="false">
      <c r="A6" s="5" t="s">
        <v>55</v>
      </c>
      <c r="B6" s="13" t="n">
        <v>25</v>
      </c>
      <c r="C6" s="12" t="s">
        <v>56</v>
      </c>
    </row>
    <row r="7" customFormat="false" ht="15" hidden="false" customHeight="false" outlineLevel="0" collapsed="false">
      <c r="A7" s="5" t="s">
        <v>57</v>
      </c>
      <c r="B7" s="13" t="n">
        <v>5</v>
      </c>
      <c r="C7" s="12" t="s">
        <v>58</v>
      </c>
    </row>
    <row r="8" customFormat="false" ht="15" hidden="false" customHeight="false" outlineLevel="0" collapsed="false">
      <c r="A8" s="5" t="s">
        <v>59</v>
      </c>
      <c r="B8" s="13" t="n">
        <v>200</v>
      </c>
      <c r="C8" s="12" t="s">
        <v>60</v>
      </c>
    </row>
    <row r="9" customFormat="false" ht="15" hidden="false" customHeight="false" outlineLevel="0" collapsed="false">
      <c r="A9" s="5" t="s">
        <v>61</v>
      </c>
      <c r="B9" s="13" t="n">
        <v>13</v>
      </c>
      <c r="C9" s="12" t="s">
        <v>62</v>
      </c>
    </row>
    <row r="10" customFormat="false" ht="15" hidden="false" customHeight="false" outlineLevel="0" collapsed="false">
      <c r="A10" s="5" t="s">
        <v>63</v>
      </c>
      <c r="B10" s="13" t="n">
        <v>0</v>
      </c>
      <c r="C10" s="12" t="s">
        <v>64</v>
      </c>
    </row>
    <row r="11" customFormat="false" ht="15" hidden="false" customHeight="false" outlineLevel="0" collapsed="false">
      <c r="A11" s="20"/>
      <c r="B11" s="5"/>
      <c r="C11" s="5"/>
    </row>
    <row r="12" customFormat="false" ht="15" hidden="false" customHeight="false" outlineLevel="0" collapsed="false">
      <c r="A12" s="20" t="s">
        <v>65</v>
      </c>
      <c r="B12" s="5"/>
      <c r="C12" s="5"/>
    </row>
    <row r="13" customFormat="false" ht="15" hidden="false" customHeight="false" outlineLevel="0" collapsed="false">
      <c r="A13" s="5" t="s">
        <v>66</v>
      </c>
      <c r="B13" s="13" t="n">
        <v>200</v>
      </c>
      <c r="C13" s="12" t="s">
        <v>67</v>
      </c>
    </row>
    <row r="14" customFormat="false" ht="15" hidden="false" customHeight="false" outlineLevel="0" collapsed="false">
      <c r="A14" s="5" t="s">
        <v>20</v>
      </c>
      <c r="B14" s="5"/>
      <c r="C14" s="12" t="s">
        <v>68</v>
      </c>
    </row>
    <row r="15" customFormat="false" ht="15" hidden="false" customHeight="false" outlineLevel="0" collapsed="false">
      <c r="A15" s="5" t="s">
        <v>69</v>
      </c>
      <c r="B15" s="13" t="n">
        <v>75</v>
      </c>
      <c r="C15" s="12" t="s">
        <v>70</v>
      </c>
    </row>
    <row r="16" customFormat="false" ht="15" hidden="false" customHeight="false" outlineLevel="0" collapsed="false">
      <c r="A16" s="20"/>
      <c r="B16" s="5"/>
      <c r="C16" s="5"/>
    </row>
    <row r="17" customFormat="false" ht="15" hidden="false" customHeight="false" outlineLevel="0" collapsed="false">
      <c r="A17" s="20" t="s">
        <v>71</v>
      </c>
      <c r="B17" s="5"/>
      <c r="C17" s="5"/>
    </row>
    <row r="18" customFormat="false" ht="15" hidden="false" customHeight="false" outlineLevel="0" collapsed="false">
      <c r="A18" s="5" t="s">
        <v>72</v>
      </c>
      <c r="B18" s="13" t="n">
        <v>30</v>
      </c>
      <c r="C18" s="12" t="s">
        <v>73</v>
      </c>
    </row>
    <row r="19" customFormat="false" ht="15" hidden="false" customHeight="false" outlineLevel="0" collapsed="false">
      <c r="A19" s="5" t="s">
        <v>74</v>
      </c>
      <c r="B19" s="13" t="n">
        <v>30</v>
      </c>
      <c r="C19" s="12" t="s">
        <v>75</v>
      </c>
    </row>
    <row r="20" customFormat="false" ht="15" hidden="false" customHeight="false" outlineLevel="0" collapsed="false">
      <c r="A20" s="5" t="s">
        <v>76</v>
      </c>
      <c r="B20" s="13" t="n">
        <v>50</v>
      </c>
      <c r="C20" s="12" t="s">
        <v>77</v>
      </c>
    </row>
    <row r="21" customFormat="false" ht="15" hidden="false" customHeight="false" outlineLevel="0" collapsed="false">
      <c r="A21" s="20"/>
      <c r="B21" s="5"/>
      <c r="C21" s="5"/>
    </row>
    <row r="22" customFormat="false" ht="15" hidden="false" customHeight="false" outlineLevel="0" collapsed="false">
      <c r="A22" s="20" t="s">
        <v>78</v>
      </c>
      <c r="B22" s="5"/>
      <c r="C22" s="5"/>
    </row>
    <row r="23" customFormat="false" ht="15" hidden="false" customHeight="false" outlineLevel="0" collapsed="false">
      <c r="A23" s="5" t="s">
        <v>79</v>
      </c>
      <c r="B23" s="13" t="n">
        <v>42</v>
      </c>
      <c r="C23" s="12" t="s">
        <v>80</v>
      </c>
    </row>
    <row r="24" customFormat="false" ht="15" hidden="false" customHeight="false" outlineLevel="0" collapsed="false">
      <c r="A24" s="5" t="s">
        <v>81</v>
      </c>
      <c r="B24" s="13" t="n">
        <v>3</v>
      </c>
      <c r="C24" s="12" t="s">
        <v>82</v>
      </c>
    </row>
    <row r="25" customFormat="false" ht="15" hidden="false" customHeight="false" outlineLevel="0" collapsed="false">
      <c r="A25" s="20"/>
      <c r="B25" s="5"/>
      <c r="C25" s="5"/>
    </row>
    <row r="26" customFormat="false" ht="15" hidden="false" customHeight="false" outlineLevel="0" collapsed="false">
      <c r="A26" s="20" t="s">
        <v>83</v>
      </c>
      <c r="B26" s="5"/>
      <c r="C26" s="5"/>
    </row>
    <row r="27" customFormat="false" ht="15" hidden="false" customHeight="false" outlineLevel="0" collapsed="false">
      <c r="A27" s="5" t="s">
        <v>84</v>
      </c>
      <c r="B27" s="13" t="n">
        <v>0</v>
      </c>
      <c r="C27" s="12" t="s">
        <v>85</v>
      </c>
    </row>
    <row r="29" customFormat="false" ht="15" hidden="false" customHeight="false" outlineLevel="0" collapsed="false">
      <c r="A29" s="21" t="s">
        <v>86</v>
      </c>
      <c r="B29" s="22" t="n">
        <f aca="false">B6+B7+B8+B9+B10+B13+B15+B18+B19+B20+B23+B24+B27</f>
        <v>673</v>
      </c>
      <c r="C29" s="23"/>
    </row>
    <row r="31" customFormat="false" ht="15" hidden="false" customHeight="false" outlineLevel="0" collapsed="false">
      <c r="A31" s="24" t="s">
        <v>87</v>
      </c>
      <c r="B31" s="25" t="n">
        <f aca="false">B29*12</f>
        <v>8076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H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8" min="2" style="0" width="16"/>
  </cols>
  <sheetData>
    <row r="1" customFormat="false" ht="17.35" hidden="false" customHeight="false" outlineLevel="0" collapsed="false">
      <c r="A1" s="1" t="s">
        <v>88</v>
      </c>
    </row>
    <row r="2" customFormat="false" ht="15" hidden="false" customHeight="false" outlineLevel="0" collapsed="false">
      <c r="A2" s="19" t="s">
        <v>89</v>
      </c>
    </row>
    <row r="4" customFormat="false" ht="15" hidden="false" customHeight="false" outlineLevel="0" collapsed="false">
      <c r="A4" s="4"/>
      <c r="B4" s="4" t="s">
        <v>90</v>
      </c>
      <c r="C4" s="4" t="s">
        <v>91</v>
      </c>
      <c r="D4" s="4" t="s">
        <v>92</v>
      </c>
      <c r="E4" s="4" t="s">
        <v>93</v>
      </c>
      <c r="F4" s="4" t="s">
        <v>94</v>
      </c>
      <c r="G4" s="4" t="s">
        <v>95</v>
      </c>
      <c r="H4" s="4" t="s">
        <v>96</v>
      </c>
    </row>
    <row r="5" customFormat="false" ht="15" hidden="false" customHeight="false" outlineLevel="0" collapsed="false">
      <c r="A5" s="3" t="s">
        <v>97</v>
      </c>
    </row>
    <row r="6" customFormat="false" ht="15" hidden="false" customHeight="false" outlineLevel="0" collapsed="false">
      <c r="A6" s="5" t="s">
        <v>7</v>
      </c>
      <c r="B6" s="26" t="n">
        <v>8</v>
      </c>
      <c r="C6" s="26" t="n">
        <v>12</v>
      </c>
      <c r="D6" s="26" t="n">
        <v>18</v>
      </c>
      <c r="E6" s="26" t="n">
        <v>22</v>
      </c>
      <c r="F6" s="26" t="n">
        <v>25</v>
      </c>
      <c r="G6" s="26" t="n">
        <v>30</v>
      </c>
      <c r="H6" s="5" t="n">
        <f aca="false">SUM(B6:G6)</f>
        <v>115</v>
      </c>
    </row>
    <row r="7" customFormat="false" ht="15" hidden="false" customHeight="false" outlineLevel="0" collapsed="false">
      <c r="A7" s="5" t="s">
        <v>8</v>
      </c>
      <c r="B7" s="26" t="n">
        <v>15</v>
      </c>
      <c r="C7" s="26" t="n">
        <v>22</v>
      </c>
      <c r="D7" s="26" t="n">
        <v>30</v>
      </c>
      <c r="E7" s="26" t="n">
        <v>35</v>
      </c>
      <c r="F7" s="26" t="n">
        <v>40</v>
      </c>
      <c r="G7" s="26" t="n">
        <v>45</v>
      </c>
      <c r="H7" s="5" t="n">
        <f aca="false">SUM(B7:G7)</f>
        <v>187</v>
      </c>
    </row>
    <row r="8" customFormat="false" ht="15" hidden="false" customHeight="false" outlineLevel="0" collapsed="false">
      <c r="A8" s="5" t="s">
        <v>9</v>
      </c>
      <c r="B8" s="26" t="n">
        <v>0</v>
      </c>
      <c r="C8" s="26" t="n">
        <v>5</v>
      </c>
      <c r="D8" s="26" t="n">
        <v>8</v>
      </c>
      <c r="E8" s="26" t="n">
        <v>12</v>
      </c>
      <c r="F8" s="26" t="n">
        <v>15</v>
      </c>
      <c r="G8" s="26" t="n">
        <v>18</v>
      </c>
      <c r="H8" s="5" t="n">
        <f aca="false">SUM(B8:G8)</f>
        <v>58</v>
      </c>
    </row>
    <row r="9" customFormat="false" ht="15" hidden="false" customHeight="false" outlineLevel="0" collapsed="false">
      <c r="A9" s="15" t="s">
        <v>98</v>
      </c>
      <c r="B9" s="27" t="n">
        <f aca="false">SUM(B6:B8)</f>
        <v>23</v>
      </c>
      <c r="C9" s="27" t="n">
        <f aca="false">SUM(C6:C8)</f>
        <v>39</v>
      </c>
      <c r="D9" s="27" t="n">
        <f aca="false">SUM(D6:D8)</f>
        <v>56</v>
      </c>
      <c r="E9" s="27" t="n">
        <f aca="false">SUM(E6:E8)</f>
        <v>69</v>
      </c>
      <c r="F9" s="27" t="n">
        <f aca="false">SUM(F6:F8)</f>
        <v>80</v>
      </c>
      <c r="G9" s="27" t="n">
        <f aca="false">SUM(G6:G8)</f>
        <v>93</v>
      </c>
      <c r="H9" s="27" t="n">
        <f aca="false">SUM(H6:H8)</f>
        <v>360</v>
      </c>
    </row>
    <row r="10" customFormat="false" ht="15" hidden="false" customHeight="false" outlineLevel="0" collapsed="false">
      <c r="A10" s="5" t="s">
        <v>99</v>
      </c>
      <c r="B10" s="28" t="n">
        <f aca="false">B9</f>
        <v>23</v>
      </c>
      <c r="C10" s="5" t="n">
        <f aca="false">B10+C9</f>
        <v>62</v>
      </c>
      <c r="D10" s="5" t="n">
        <f aca="false">C10+D9</f>
        <v>118</v>
      </c>
      <c r="E10" s="5" t="n">
        <f aca="false">D10+E9</f>
        <v>187</v>
      </c>
      <c r="F10" s="5" t="n">
        <f aca="false">E10+F9</f>
        <v>267</v>
      </c>
      <c r="G10" s="5" t="n">
        <f aca="false">F10+G9</f>
        <v>360</v>
      </c>
      <c r="H10" s="5" t="n">
        <f aca="false">G10</f>
        <v>360</v>
      </c>
    </row>
    <row r="12" customFormat="false" ht="15" hidden="false" customHeight="false" outlineLevel="0" collapsed="false">
      <c r="A12" s="3" t="s">
        <v>100</v>
      </c>
    </row>
    <row r="13" customFormat="false" ht="15" hidden="false" customHeight="false" outlineLevel="0" collapsed="false">
      <c r="A13" s="5" t="s">
        <v>101</v>
      </c>
      <c r="B13" s="29" t="n">
        <f aca="false">B6*Assumptions!C6</f>
        <v>712</v>
      </c>
      <c r="C13" s="29" t="n">
        <f aca="false">C6*Assumptions!C6</f>
        <v>1068</v>
      </c>
      <c r="D13" s="29" t="n">
        <f aca="false">D6*Assumptions!C6</f>
        <v>1602</v>
      </c>
      <c r="E13" s="29" t="n">
        <f aca="false">E6*Assumptions!C6</f>
        <v>1958</v>
      </c>
      <c r="F13" s="29" t="n">
        <f aca="false">F6*Assumptions!C6</f>
        <v>2225</v>
      </c>
      <c r="G13" s="29" t="n">
        <f aca="false">G6*Assumptions!C6</f>
        <v>2670</v>
      </c>
      <c r="H13" s="30" t="n">
        <f aca="false">SUM(B13:G13)</f>
        <v>10235</v>
      </c>
    </row>
    <row r="14" customFormat="false" ht="15" hidden="false" customHeight="false" outlineLevel="0" collapsed="false">
      <c r="A14" s="5" t="s">
        <v>102</v>
      </c>
      <c r="B14" s="29" t="n">
        <f aca="false">B7*Assumptions!C7</f>
        <v>1485</v>
      </c>
      <c r="C14" s="29" t="n">
        <f aca="false">C7*Assumptions!C7</f>
        <v>2178</v>
      </c>
      <c r="D14" s="29" t="n">
        <f aca="false">D7*Assumptions!C7</f>
        <v>2970</v>
      </c>
      <c r="E14" s="29" t="n">
        <f aca="false">E7*Assumptions!C7</f>
        <v>3465</v>
      </c>
      <c r="F14" s="29" t="n">
        <f aca="false">F7*Assumptions!C7</f>
        <v>3960</v>
      </c>
      <c r="G14" s="29" t="n">
        <f aca="false">G7*Assumptions!C7</f>
        <v>4455</v>
      </c>
      <c r="H14" s="30" t="n">
        <f aca="false">SUM(B14:G14)</f>
        <v>18513</v>
      </c>
    </row>
    <row r="15" customFormat="false" ht="15" hidden="false" customHeight="false" outlineLevel="0" collapsed="false">
      <c r="A15" s="5" t="s">
        <v>103</v>
      </c>
      <c r="B15" s="29" t="n">
        <f aca="false">B8*Assumptions!C8</f>
        <v>0</v>
      </c>
      <c r="C15" s="29" t="n">
        <f aca="false">C8*Assumptions!C8</f>
        <v>745</v>
      </c>
      <c r="D15" s="29" t="n">
        <f aca="false">D8*Assumptions!C8</f>
        <v>1192</v>
      </c>
      <c r="E15" s="29" t="n">
        <f aca="false">E8*Assumptions!C8</f>
        <v>1788</v>
      </c>
      <c r="F15" s="29" t="n">
        <f aca="false">F8*Assumptions!C8</f>
        <v>2235</v>
      </c>
      <c r="G15" s="29" t="n">
        <f aca="false">G8*Assumptions!C8</f>
        <v>2682</v>
      </c>
      <c r="H15" s="30" t="n">
        <f aca="false">SUM(B15:G15)</f>
        <v>8642</v>
      </c>
    </row>
    <row r="16" customFormat="false" ht="15" hidden="false" customHeight="false" outlineLevel="0" collapsed="false">
      <c r="A16" s="15" t="s">
        <v>104</v>
      </c>
      <c r="B16" s="31" t="n">
        <f aca="false">SUM(B13:B15)</f>
        <v>2197</v>
      </c>
      <c r="C16" s="31" t="n">
        <f aca="false">SUM(C13:C15)</f>
        <v>3991</v>
      </c>
      <c r="D16" s="31" t="n">
        <f aca="false">SUM(D13:D15)</f>
        <v>5764</v>
      </c>
      <c r="E16" s="31" t="n">
        <f aca="false">SUM(E13:E15)</f>
        <v>7211</v>
      </c>
      <c r="F16" s="31" t="n">
        <f aca="false">SUM(F13:F15)</f>
        <v>8420</v>
      </c>
      <c r="G16" s="31" t="n">
        <f aca="false">SUM(G13:G15)</f>
        <v>9807</v>
      </c>
      <c r="H16" s="31" t="n">
        <f aca="false">SUM(H13:H15)</f>
        <v>37390</v>
      </c>
    </row>
    <row r="18" customFormat="false" ht="15" hidden="false" customHeight="false" outlineLevel="0" collapsed="false">
      <c r="A18" s="3" t="s">
        <v>105</v>
      </c>
    </row>
    <row r="19" customFormat="false" ht="15" hidden="false" customHeight="false" outlineLevel="0" collapsed="false">
      <c r="A19" s="5" t="s">
        <v>106</v>
      </c>
      <c r="B19" s="29" t="n">
        <f aca="false">B6*Assumptions!B6</f>
        <v>468</v>
      </c>
      <c r="C19" s="29" t="n">
        <f aca="false">C6*Assumptions!B6</f>
        <v>702</v>
      </c>
      <c r="D19" s="29" t="n">
        <f aca="false">D6*Assumptions!B6</f>
        <v>1053</v>
      </c>
      <c r="E19" s="29" t="n">
        <f aca="false">E6*Assumptions!B6</f>
        <v>1287</v>
      </c>
      <c r="F19" s="29" t="n">
        <f aca="false">F6*Assumptions!B6</f>
        <v>1462.5</v>
      </c>
      <c r="G19" s="29" t="n">
        <f aca="false">G6*Assumptions!B6</f>
        <v>1755</v>
      </c>
      <c r="H19" s="30" t="n">
        <f aca="false">SUM(B19:G19)</f>
        <v>6727.5</v>
      </c>
    </row>
    <row r="20" customFormat="false" ht="15" hidden="false" customHeight="false" outlineLevel="0" collapsed="false">
      <c r="A20" s="5" t="s">
        <v>107</v>
      </c>
      <c r="B20" s="29" t="n">
        <f aca="false">B7*Assumptions!B7</f>
        <v>945</v>
      </c>
      <c r="C20" s="29" t="n">
        <f aca="false">C7*Assumptions!B7</f>
        <v>1386</v>
      </c>
      <c r="D20" s="29" t="n">
        <f aca="false">D7*Assumptions!B7</f>
        <v>1890</v>
      </c>
      <c r="E20" s="29" t="n">
        <f aca="false">E7*Assumptions!B7</f>
        <v>2205</v>
      </c>
      <c r="F20" s="29" t="n">
        <f aca="false">F7*Assumptions!B7</f>
        <v>2520</v>
      </c>
      <c r="G20" s="29" t="n">
        <f aca="false">G7*Assumptions!B7</f>
        <v>2835</v>
      </c>
      <c r="H20" s="30" t="n">
        <f aca="false">SUM(B20:G20)</f>
        <v>11781</v>
      </c>
    </row>
    <row r="21" customFormat="false" ht="15" hidden="false" customHeight="false" outlineLevel="0" collapsed="false">
      <c r="A21" s="5" t="s">
        <v>108</v>
      </c>
      <c r="B21" s="29" t="n">
        <f aca="false">B8*Assumptions!B8</f>
        <v>0</v>
      </c>
      <c r="C21" s="29" t="n">
        <f aca="false">C8*Assumptions!B8</f>
        <v>490</v>
      </c>
      <c r="D21" s="29" t="n">
        <f aca="false">D8*Assumptions!B8</f>
        <v>784</v>
      </c>
      <c r="E21" s="29" t="n">
        <f aca="false">E8*Assumptions!B8</f>
        <v>1176</v>
      </c>
      <c r="F21" s="29" t="n">
        <f aca="false">F8*Assumptions!B8</f>
        <v>1470</v>
      </c>
      <c r="G21" s="29" t="n">
        <f aca="false">G8*Assumptions!B8</f>
        <v>1764</v>
      </c>
      <c r="H21" s="30" t="n">
        <f aca="false">SUM(B21:G21)</f>
        <v>5684</v>
      </c>
    </row>
    <row r="22" customFormat="false" ht="15" hidden="false" customHeight="false" outlineLevel="0" collapsed="false">
      <c r="A22" s="15" t="s">
        <v>109</v>
      </c>
      <c r="B22" s="31" t="n">
        <f aca="false">SUM(B19:B21)</f>
        <v>1413</v>
      </c>
      <c r="C22" s="31" t="n">
        <f aca="false">SUM(C19:C21)</f>
        <v>2578</v>
      </c>
      <c r="D22" s="31" t="n">
        <f aca="false">SUM(D19:D21)</f>
        <v>3727</v>
      </c>
      <c r="E22" s="31" t="n">
        <f aca="false">SUM(E19:E21)</f>
        <v>4668</v>
      </c>
      <c r="F22" s="31" t="n">
        <f aca="false">SUM(F19:F21)</f>
        <v>5452.5</v>
      </c>
      <c r="G22" s="31" t="n">
        <f aca="false">SUM(G19:G21)</f>
        <v>6354</v>
      </c>
      <c r="H22" s="31" t="n">
        <f aca="false">SUM(H19:H21)</f>
        <v>24192.5</v>
      </c>
    </row>
    <row r="24" customFormat="false" ht="15" hidden="false" customHeight="false" outlineLevel="0" collapsed="false">
      <c r="A24" s="15" t="s">
        <v>110</v>
      </c>
      <c r="B24" s="31" t="n">
        <f aca="false">B16-B22</f>
        <v>784</v>
      </c>
      <c r="C24" s="31" t="n">
        <f aca="false">C16-C22</f>
        <v>1413</v>
      </c>
      <c r="D24" s="31" t="n">
        <f aca="false">D16-D22</f>
        <v>2037</v>
      </c>
      <c r="E24" s="31" t="n">
        <f aca="false">E16-E22</f>
        <v>2543</v>
      </c>
      <c r="F24" s="31" t="n">
        <f aca="false">F16-F22</f>
        <v>2967.5</v>
      </c>
      <c r="G24" s="31" t="n">
        <f aca="false">G16-G22</f>
        <v>3453</v>
      </c>
      <c r="H24" s="31" t="n">
        <f aca="false">H16-H22</f>
        <v>13197.5</v>
      </c>
    </row>
    <row r="25" customFormat="false" ht="15" hidden="false" customHeight="false" outlineLevel="0" collapsed="false">
      <c r="A25" s="5" t="s">
        <v>111</v>
      </c>
      <c r="B25" s="9" t="n">
        <f aca="false">IF(B16=0,0,B24/B16)</f>
        <v>0.356850250341375</v>
      </c>
      <c r="C25" s="9" t="n">
        <f aca="false">IF(C16=0,0,C24/C16)</f>
        <v>0.354046604860937</v>
      </c>
      <c r="D25" s="9" t="n">
        <f aca="false">IF(D16=0,0,D24/D16)</f>
        <v>0.353400416377516</v>
      </c>
      <c r="E25" s="9" t="n">
        <f aca="false">IF(E16=0,0,E24/E16)</f>
        <v>0.352655664956317</v>
      </c>
      <c r="F25" s="9" t="n">
        <f aca="false">IF(F16=0,0,F24/F16)</f>
        <v>0.352434679334917</v>
      </c>
      <c r="G25" s="9" t="n">
        <f aca="false">IF(G16=0,0,G24/G16)</f>
        <v>0.352095442031202</v>
      </c>
      <c r="H25" s="9" t="n">
        <f aca="false">IF(H16=0,0,H24/H16)</f>
        <v>0.352968708210752</v>
      </c>
    </row>
    <row r="27" customFormat="false" ht="15" hidden="false" customHeight="false" outlineLevel="0" collapsed="false">
      <c r="A27" s="3" t="s">
        <v>112</v>
      </c>
    </row>
    <row r="28" customFormat="false" ht="15" hidden="false" customHeight="false" outlineLevel="0" collapsed="false">
      <c r="A28" s="5" t="s">
        <v>113</v>
      </c>
      <c r="B28" s="32" t="n">
        <f aca="false">ROUND((B7+B8)*Assumptions!B21,0)</f>
        <v>2</v>
      </c>
      <c r="C28" s="32" t="n">
        <f aca="false">ROUND((C7+C8)*Assumptions!B21,0)</f>
        <v>3</v>
      </c>
      <c r="D28" s="32" t="n">
        <f aca="false">ROUND((D7+D8)*Assumptions!B21,0)</f>
        <v>5</v>
      </c>
      <c r="E28" s="32" t="n">
        <f aca="false">ROUND((E7+E8)*Assumptions!B21,0)</f>
        <v>6</v>
      </c>
      <c r="F28" s="32" t="n">
        <f aca="false">ROUND((F7+F8)*Assumptions!B21,0)</f>
        <v>7</v>
      </c>
      <c r="G28" s="32" t="n">
        <f aca="false">ROUND((G7+G8)*Assumptions!B21,0)</f>
        <v>8</v>
      </c>
      <c r="H28" s="28" t="n">
        <f aca="false">SUM(B28:G28)</f>
        <v>31</v>
      </c>
    </row>
    <row r="29" customFormat="false" ht="15" hidden="false" customHeight="false" outlineLevel="0" collapsed="false">
      <c r="A29" s="5" t="s">
        <v>114</v>
      </c>
      <c r="B29" s="5" t="n">
        <v>0</v>
      </c>
      <c r="C29" s="28" t="n">
        <f aca="false">ROUND(B30*Assumptions!B22,0)</f>
        <v>0</v>
      </c>
      <c r="D29" s="28" t="n">
        <f aca="false">ROUND(C30*Assumptions!B22,0)</f>
        <v>0</v>
      </c>
      <c r="E29" s="28" t="n">
        <f aca="false">ROUND(D30*Assumptions!B22,0)</f>
        <v>0</v>
      </c>
      <c r="F29" s="28" t="n">
        <f aca="false">ROUND(E30*Assumptions!B22,0)</f>
        <v>0</v>
      </c>
      <c r="G29" s="28" t="n">
        <f aca="false">ROUND(F30*Assumptions!B22,0)</f>
        <v>1</v>
      </c>
      <c r="H29" s="28" t="n">
        <f aca="false">SUM(B29:G29)</f>
        <v>1</v>
      </c>
    </row>
    <row r="30" customFormat="false" ht="15" hidden="false" customHeight="false" outlineLevel="0" collapsed="false">
      <c r="A30" s="15" t="s">
        <v>115</v>
      </c>
      <c r="B30" s="27" t="n">
        <f aca="false">B28-B29</f>
        <v>2</v>
      </c>
      <c r="C30" s="27" t="n">
        <f aca="false">B30+C28-C29</f>
        <v>5</v>
      </c>
      <c r="D30" s="27" t="n">
        <f aca="false">C30+D28-D29</f>
        <v>10</v>
      </c>
      <c r="E30" s="27" t="n">
        <f aca="false">D30+E28-E29</f>
        <v>16</v>
      </c>
      <c r="F30" s="27" t="n">
        <f aca="false">E30+F28-F29</f>
        <v>23</v>
      </c>
      <c r="G30" s="27" t="n">
        <f aca="false">F30+G28-G29</f>
        <v>30</v>
      </c>
      <c r="H30" s="27" t="n">
        <f aca="false">G30</f>
        <v>30</v>
      </c>
    </row>
    <row r="32" customFormat="false" ht="15" hidden="false" customHeight="false" outlineLevel="0" collapsed="false">
      <c r="A32" s="3" t="s">
        <v>116</v>
      </c>
    </row>
    <row r="33" customFormat="false" ht="15" hidden="false" customHeight="false" outlineLevel="0" collapsed="false">
      <c r="A33" s="5" t="s">
        <v>117</v>
      </c>
      <c r="B33" s="29" t="n">
        <f aca="false">B30*Assumptions!C12</f>
        <v>69.9</v>
      </c>
      <c r="C33" s="29" t="n">
        <f aca="false">C30*Assumptions!C12</f>
        <v>174.75</v>
      </c>
      <c r="D33" s="29" t="n">
        <f aca="false">D30*Assumptions!C12</f>
        <v>349.5</v>
      </c>
      <c r="E33" s="29" t="n">
        <f aca="false">E30*Assumptions!C12</f>
        <v>559.2</v>
      </c>
      <c r="F33" s="29" t="n">
        <f aca="false">F30*Assumptions!C12</f>
        <v>803.85</v>
      </c>
      <c r="G33" s="29" t="n">
        <f aca="false">G30*Assumptions!C12</f>
        <v>1048.5</v>
      </c>
      <c r="H33" s="30" t="n">
        <f aca="false">SUM(B33:G33)</f>
        <v>3005.7</v>
      </c>
    </row>
    <row r="34" customFormat="false" ht="15" hidden="false" customHeight="false" outlineLevel="0" collapsed="false">
      <c r="A34" s="5" t="s">
        <v>118</v>
      </c>
      <c r="B34" s="29" t="n">
        <f aca="false">B30*Assumptions!B12</f>
        <v>30</v>
      </c>
      <c r="C34" s="29" t="n">
        <f aca="false">C30*Assumptions!B12</f>
        <v>75</v>
      </c>
      <c r="D34" s="29" t="n">
        <f aca="false">D30*Assumptions!B12</f>
        <v>150</v>
      </c>
      <c r="E34" s="29" t="n">
        <f aca="false">E30*Assumptions!B12</f>
        <v>240</v>
      </c>
      <c r="F34" s="29" t="n">
        <f aca="false">F30*Assumptions!B12</f>
        <v>345</v>
      </c>
      <c r="G34" s="29" t="n">
        <f aca="false">G30*Assumptions!B12</f>
        <v>450</v>
      </c>
      <c r="H34" s="30" t="n">
        <f aca="false">SUM(B34:G34)</f>
        <v>1290</v>
      </c>
    </row>
    <row r="35" customFormat="false" ht="15" hidden="false" customHeight="false" outlineLevel="0" collapsed="false">
      <c r="A35" s="15" t="s">
        <v>119</v>
      </c>
      <c r="B35" s="31" t="n">
        <f aca="false">B33-B34</f>
        <v>39.9</v>
      </c>
      <c r="C35" s="31" t="n">
        <f aca="false">C33-C34</f>
        <v>99.75</v>
      </c>
      <c r="D35" s="31" t="n">
        <f aca="false">D33-D34</f>
        <v>199.5</v>
      </c>
      <c r="E35" s="31" t="n">
        <f aca="false">E33-E34</f>
        <v>319.2</v>
      </c>
      <c r="F35" s="31" t="n">
        <f aca="false">F33-F34</f>
        <v>458.85</v>
      </c>
      <c r="G35" s="31" t="n">
        <f aca="false">G33-G34</f>
        <v>598.5</v>
      </c>
      <c r="H35" s="31" t="n">
        <f aca="false">H33-H34</f>
        <v>1715.7</v>
      </c>
    </row>
    <row r="37" customFormat="false" ht="15" hidden="false" customHeight="false" outlineLevel="0" collapsed="false">
      <c r="A37" s="3" t="s">
        <v>120</v>
      </c>
    </row>
    <row r="38" customFormat="false" ht="15" hidden="false" customHeight="false" outlineLevel="0" collapsed="false">
      <c r="A38" s="5" t="s">
        <v>121</v>
      </c>
      <c r="B38" s="28" t="n">
        <f aca="false">B6+B8</f>
        <v>8</v>
      </c>
      <c r="C38" s="28" t="n">
        <f aca="false">C6+C8</f>
        <v>17</v>
      </c>
      <c r="D38" s="28" t="n">
        <f aca="false">D6+D8</f>
        <v>26</v>
      </c>
      <c r="E38" s="28" t="n">
        <f aca="false">E6+E8</f>
        <v>34</v>
      </c>
      <c r="F38" s="28" t="n">
        <f aca="false">F6+F8</f>
        <v>40</v>
      </c>
      <c r="G38" s="28" t="n">
        <f aca="false">G6+G8</f>
        <v>48</v>
      </c>
      <c r="H38" s="28" t="n">
        <f aca="false">SUM(B38:G38)</f>
        <v>173</v>
      </c>
    </row>
    <row r="39" customFormat="false" ht="15" hidden="false" customHeight="false" outlineLevel="0" collapsed="false">
      <c r="A39" s="5" t="s">
        <v>122</v>
      </c>
      <c r="B39" s="32" t="n">
        <f aca="false">ROUND(B38*Assumptions!B24,0)</f>
        <v>3</v>
      </c>
      <c r="C39" s="32" t="n">
        <f aca="false">ROUND(C38*Assumptions!B24,0)</f>
        <v>6</v>
      </c>
      <c r="D39" s="32" t="n">
        <f aca="false">ROUND(D38*Assumptions!B24,0)</f>
        <v>9</v>
      </c>
      <c r="E39" s="32" t="n">
        <f aca="false">ROUND(E38*Assumptions!B24,0)</f>
        <v>12</v>
      </c>
      <c r="F39" s="32" t="n">
        <f aca="false">ROUND(F38*Assumptions!B24,0)</f>
        <v>14</v>
      </c>
      <c r="G39" s="32" t="n">
        <f aca="false">ROUND(G38*Assumptions!B24,0)</f>
        <v>17</v>
      </c>
      <c r="H39" s="28" t="n">
        <f aca="false">SUM(B39:G39)</f>
        <v>61</v>
      </c>
    </row>
    <row r="40" customFormat="false" ht="15" hidden="false" customHeight="false" outlineLevel="0" collapsed="false">
      <c r="A40" s="5" t="s">
        <v>123</v>
      </c>
      <c r="B40" s="32" t="n">
        <f aca="false">ROUND(B39*Assumptions!B25,0)</f>
        <v>2</v>
      </c>
      <c r="C40" s="32" t="n">
        <f aca="false">ROUND(C39*Assumptions!B25,0)</f>
        <v>3</v>
      </c>
      <c r="D40" s="32" t="n">
        <f aca="false">ROUND(D39*Assumptions!B25,0)</f>
        <v>5</v>
      </c>
      <c r="E40" s="32" t="n">
        <f aca="false">ROUND(E39*Assumptions!B25,0)</f>
        <v>6</v>
      </c>
      <c r="F40" s="32" t="n">
        <f aca="false">ROUND(F39*Assumptions!B25,0)</f>
        <v>7</v>
      </c>
      <c r="G40" s="32" t="n">
        <f aca="false">ROUND(G39*Assumptions!B25,0)</f>
        <v>9</v>
      </c>
      <c r="H40" s="28" t="n">
        <f aca="false">SUM(B40:G40)</f>
        <v>32</v>
      </c>
    </row>
    <row r="41" customFormat="false" ht="15" hidden="false" customHeight="false" outlineLevel="0" collapsed="false">
      <c r="A41" s="15" t="s">
        <v>124</v>
      </c>
      <c r="B41" s="29" t="n">
        <f aca="false">B40*Assumptions!B23</f>
        <v>150</v>
      </c>
      <c r="C41" s="29" t="n">
        <f aca="false">C40*Assumptions!B23</f>
        <v>225</v>
      </c>
      <c r="D41" s="29" t="n">
        <f aca="false">D40*Assumptions!B23</f>
        <v>375</v>
      </c>
      <c r="E41" s="29" t="n">
        <f aca="false">E40*Assumptions!B23</f>
        <v>450</v>
      </c>
      <c r="F41" s="29" t="n">
        <f aca="false">F40*Assumptions!B23</f>
        <v>525</v>
      </c>
      <c r="G41" s="29" t="n">
        <f aca="false">G40*Assumptions!B23</f>
        <v>675</v>
      </c>
      <c r="H41" s="30" t="n">
        <f aca="false">SUM(B41:G41)</f>
        <v>2400</v>
      </c>
    </row>
    <row r="43" customFormat="false" ht="15" hidden="false" customHeight="false" outlineLevel="0" collapsed="false">
      <c r="A43" s="3" t="s">
        <v>125</v>
      </c>
    </row>
    <row r="44" customFormat="false" ht="15" hidden="false" customHeight="false" outlineLevel="0" collapsed="false">
      <c r="A44" s="5" t="s">
        <v>126</v>
      </c>
      <c r="B44" s="30" t="n">
        <f aca="false">B16</f>
        <v>2197</v>
      </c>
      <c r="C44" s="30" t="n">
        <f aca="false">C16</f>
        <v>3991</v>
      </c>
      <c r="D44" s="30" t="n">
        <f aca="false">D16</f>
        <v>5764</v>
      </c>
      <c r="E44" s="30" t="n">
        <f aca="false">E16</f>
        <v>7211</v>
      </c>
      <c r="F44" s="30" t="n">
        <f aca="false">F16</f>
        <v>8420</v>
      </c>
      <c r="G44" s="30" t="n">
        <f aca="false">G16</f>
        <v>9807</v>
      </c>
      <c r="H44" s="30" t="n">
        <f aca="false">H16</f>
        <v>37390</v>
      </c>
    </row>
    <row r="45" customFormat="false" ht="15" hidden="false" customHeight="false" outlineLevel="0" collapsed="false">
      <c r="A45" s="5" t="s">
        <v>117</v>
      </c>
      <c r="B45" s="30" t="n">
        <f aca="false">B33</f>
        <v>69.9</v>
      </c>
      <c r="C45" s="30" t="n">
        <f aca="false">C33</f>
        <v>174.75</v>
      </c>
      <c r="D45" s="30" t="n">
        <f aca="false">D33</f>
        <v>349.5</v>
      </c>
      <c r="E45" s="30" t="n">
        <f aca="false">E33</f>
        <v>559.2</v>
      </c>
      <c r="F45" s="30" t="n">
        <f aca="false">F33</f>
        <v>803.85</v>
      </c>
      <c r="G45" s="30" t="n">
        <f aca="false">G33</f>
        <v>1048.5</v>
      </c>
      <c r="H45" s="30" t="n">
        <f aca="false">H33</f>
        <v>3005.7</v>
      </c>
    </row>
    <row r="46" customFormat="false" ht="15" hidden="false" customHeight="false" outlineLevel="0" collapsed="false">
      <c r="A46" s="5" t="s">
        <v>124</v>
      </c>
      <c r="B46" s="30" t="n">
        <f aca="false">B41</f>
        <v>150</v>
      </c>
      <c r="C46" s="30" t="n">
        <f aca="false">C41</f>
        <v>225</v>
      </c>
      <c r="D46" s="30" t="n">
        <f aca="false">D41</f>
        <v>375</v>
      </c>
      <c r="E46" s="30" t="n">
        <f aca="false">E41</f>
        <v>450</v>
      </c>
      <c r="F46" s="30" t="n">
        <f aca="false">F41</f>
        <v>525</v>
      </c>
      <c r="G46" s="30" t="n">
        <f aca="false">G41</f>
        <v>675</v>
      </c>
      <c r="H46" s="30" t="n">
        <f aca="false">H41</f>
        <v>2400</v>
      </c>
    </row>
    <row r="47" customFormat="false" ht="15" hidden="false" customHeight="false" outlineLevel="0" collapsed="false">
      <c r="A47" s="15" t="s">
        <v>125</v>
      </c>
      <c r="B47" s="22" t="n">
        <f aca="false">B44+B45+B46</f>
        <v>2416.9</v>
      </c>
      <c r="C47" s="22" t="n">
        <f aca="false">C44+C45+C46</f>
        <v>4390.75</v>
      </c>
      <c r="D47" s="22" t="n">
        <f aca="false">D44+D45+D46</f>
        <v>6488.5</v>
      </c>
      <c r="E47" s="22" t="n">
        <f aca="false">E44+E45+E46</f>
        <v>8220.2</v>
      </c>
      <c r="F47" s="22" t="n">
        <f aca="false">F44+F45+F46</f>
        <v>9748.85</v>
      </c>
      <c r="G47" s="22" t="n">
        <f aca="false">G44+G45+G46</f>
        <v>11530.5</v>
      </c>
      <c r="H47" s="22" t="n">
        <f aca="false">H44+H45+H46</f>
        <v>42795.7</v>
      </c>
    </row>
    <row r="49" customFormat="false" ht="15" hidden="false" customHeight="false" outlineLevel="0" collapsed="false">
      <c r="A49" s="3" t="s">
        <v>127</v>
      </c>
    </row>
    <row r="50" customFormat="false" ht="15" hidden="false" customHeight="false" outlineLevel="0" collapsed="false">
      <c r="A50" s="5" t="s">
        <v>128</v>
      </c>
      <c r="B50" s="30" t="n">
        <f aca="false">B22</f>
        <v>1413</v>
      </c>
      <c r="C50" s="30" t="n">
        <f aca="false">C22</f>
        <v>2578</v>
      </c>
      <c r="D50" s="30" t="n">
        <f aca="false">D22</f>
        <v>3727</v>
      </c>
      <c r="E50" s="30" t="n">
        <f aca="false">E22</f>
        <v>4668</v>
      </c>
      <c r="F50" s="30" t="n">
        <f aca="false">F22</f>
        <v>5452.5</v>
      </c>
      <c r="G50" s="30" t="n">
        <f aca="false">G22</f>
        <v>6354</v>
      </c>
      <c r="H50" s="30" t="n">
        <f aca="false">H22</f>
        <v>24192.5</v>
      </c>
    </row>
    <row r="51" customFormat="false" ht="15" hidden="false" customHeight="false" outlineLevel="0" collapsed="false">
      <c r="A51" s="5" t="s">
        <v>118</v>
      </c>
      <c r="B51" s="30" t="n">
        <f aca="false">B34</f>
        <v>30</v>
      </c>
      <c r="C51" s="30" t="n">
        <f aca="false">C34</f>
        <v>75</v>
      </c>
      <c r="D51" s="30" t="n">
        <f aca="false">D34</f>
        <v>150</v>
      </c>
      <c r="E51" s="30" t="n">
        <f aca="false">E34</f>
        <v>240</v>
      </c>
      <c r="F51" s="30" t="n">
        <f aca="false">F34</f>
        <v>345</v>
      </c>
      <c r="G51" s="30" t="n">
        <f aca="false">G34</f>
        <v>450</v>
      </c>
      <c r="H51" s="30" t="n">
        <f aca="false">H34</f>
        <v>1290</v>
      </c>
    </row>
    <row r="52" customFormat="false" ht="15" hidden="false" customHeight="false" outlineLevel="0" collapsed="false">
      <c r="A52" s="15" t="s">
        <v>127</v>
      </c>
      <c r="B52" s="31" t="n">
        <f aca="false">B50+B51</f>
        <v>1443</v>
      </c>
      <c r="C52" s="31" t="n">
        <f aca="false">C50+C51</f>
        <v>2653</v>
      </c>
      <c r="D52" s="31" t="n">
        <f aca="false">D50+D51</f>
        <v>3877</v>
      </c>
      <c r="E52" s="31" t="n">
        <f aca="false">E50+E51</f>
        <v>4908</v>
      </c>
      <c r="F52" s="31" t="n">
        <f aca="false">F50+F51</f>
        <v>5797.5</v>
      </c>
      <c r="G52" s="31" t="n">
        <f aca="false">G50+G51</f>
        <v>6804</v>
      </c>
      <c r="H52" s="31" t="n">
        <f aca="false">H50+H51</f>
        <v>25482.5</v>
      </c>
    </row>
    <row r="54" customFormat="false" ht="15" hidden="false" customHeight="false" outlineLevel="0" collapsed="false">
      <c r="A54" s="33" t="s">
        <v>129</v>
      </c>
      <c r="B54" s="34" t="n">
        <f aca="false">B47-B52</f>
        <v>973.9</v>
      </c>
      <c r="C54" s="34" t="n">
        <f aca="false">C47-C52</f>
        <v>1737.75</v>
      </c>
      <c r="D54" s="34" t="n">
        <f aca="false">D47-D52</f>
        <v>2611.5</v>
      </c>
      <c r="E54" s="34" t="n">
        <f aca="false">E47-E52</f>
        <v>3312.2</v>
      </c>
      <c r="F54" s="34" t="n">
        <f aca="false">F47-F52</f>
        <v>3951.35</v>
      </c>
      <c r="G54" s="34" t="n">
        <f aca="false">G47-G52</f>
        <v>4726.5</v>
      </c>
      <c r="H54" s="34" t="n">
        <f aca="false">H47-H52</f>
        <v>17313.2</v>
      </c>
    </row>
    <row r="55" customFormat="false" ht="15" hidden="false" customHeight="false" outlineLevel="0" collapsed="false">
      <c r="A55" s="5" t="s">
        <v>6</v>
      </c>
      <c r="B55" s="9" t="n">
        <f aca="false">IF(B47=0,0,B54/B47)</f>
        <v>0.402954197525756</v>
      </c>
      <c r="C55" s="9" t="n">
        <f aca="false">IF(C47=0,0,C54/C47)</f>
        <v>0.395775209246712</v>
      </c>
      <c r="D55" s="9" t="n">
        <f aca="false">IF(D47=0,0,D54/D47)</f>
        <v>0.402481313092394</v>
      </c>
      <c r="E55" s="9" t="n">
        <f aca="false">IF(E47=0,0,E54/E47)</f>
        <v>0.40293423517676</v>
      </c>
      <c r="F55" s="9" t="n">
        <f aca="false">IF(F47=0,0,F54/F47)</f>
        <v>0.405314472989122</v>
      </c>
      <c r="G55" s="9" t="n">
        <f aca="false">IF(G47=0,0,G54/G47)</f>
        <v>0.409912839859503</v>
      </c>
      <c r="H55" s="9" t="n">
        <f aca="false">IF(H47=0,0,H54/H47)</f>
        <v>0.404554663202144</v>
      </c>
    </row>
    <row r="57" customFormat="false" ht="15" hidden="false" customHeight="false" outlineLevel="0" collapsed="false">
      <c r="A57" s="3" t="s">
        <v>130</v>
      </c>
    </row>
    <row r="58" customFormat="false" ht="15" hidden="false" customHeight="false" outlineLevel="0" collapsed="false">
      <c r="A58" s="5" t="s">
        <v>131</v>
      </c>
      <c r="B58" s="29" t="n">
        <f aca="false">'Operating Costs'!B29</f>
        <v>673</v>
      </c>
      <c r="C58" s="29" t="n">
        <f aca="false">'Operating Costs'!B29</f>
        <v>673</v>
      </c>
      <c r="D58" s="29" t="n">
        <f aca="false">'Operating Costs'!B29</f>
        <v>673</v>
      </c>
      <c r="E58" s="29" t="n">
        <f aca="false">'Operating Costs'!B29</f>
        <v>673</v>
      </c>
      <c r="F58" s="29" t="n">
        <f aca="false">'Operating Costs'!B29</f>
        <v>673</v>
      </c>
      <c r="G58" s="29" t="n">
        <f aca="false">'Operating Costs'!B29</f>
        <v>673</v>
      </c>
      <c r="H58" s="30" t="n">
        <f aca="false">SUM(B58:G58)</f>
        <v>4038</v>
      </c>
    </row>
    <row r="59" customFormat="false" ht="15" hidden="false" customHeight="false" outlineLevel="0" collapsed="false">
      <c r="A59" s="5" t="s">
        <v>132</v>
      </c>
      <c r="B59" s="13" t="n">
        <v>2000</v>
      </c>
      <c r="C59" s="13" t="n">
        <v>2500</v>
      </c>
      <c r="D59" s="13" t="n">
        <v>3000</v>
      </c>
      <c r="E59" s="13" t="n">
        <v>3000</v>
      </c>
      <c r="F59" s="13" t="n">
        <v>3500</v>
      </c>
      <c r="G59" s="13" t="n">
        <v>4000</v>
      </c>
      <c r="H59" s="30" t="n">
        <f aca="false">SUM(B59:G59)</f>
        <v>18000</v>
      </c>
    </row>
    <row r="60" customFormat="false" ht="15" hidden="false" customHeight="false" outlineLevel="0" collapsed="false">
      <c r="A60" s="5" t="s">
        <v>133</v>
      </c>
      <c r="B60" s="29" t="n">
        <f aca="false">B47*Assumptions!B18</f>
        <v>60.4225</v>
      </c>
      <c r="C60" s="29" t="n">
        <f aca="false">C47*Assumptions!B18</f>
        <v>109.76875</v>
      </c>
      <c r="D60" s="29" t="n">
        <f aca="false">D47*Assumptions!B18</f>
        <v>162.2125</v>
      </c>
      <c r="E60" s="29" t="n">
        <f aca="false">E47*Assumptions!B18</f>
        <v>205.505</v>
      </c>
      <c r="F60" s="29" t="n">
        <f aca="false">F47*Assumptions!B18</f>
        <v>243.72125</v>
      </c>
      <c r="G60" s="29" t="n">
        <f aca="false">G47*Assumptions!B18</f>
        <v>288.2625</v>
      </c>
      <c r="H60" s="30" t="n">
        <f aca="false">SUM(B60:G60)</f>
        <v>1069.8925</v>
      </c>
    </row>
    <row r="61" customFormat="false" ht="15" hidden="false" customHeight="false" outlineLevel="0" collapsed="false">
      <c r="A61" s="5" t="s">
        <v>134</v>
      </c>
      <c r="B61" s="29" t="n">
        <f aca="false">B16*Assumptions!B20*Assumptions!B19</f>
        <v>131.82</v>
      </c>
      <c r="C61" s="29" t="n">
        <f aca="false">C16*Assumptions!B20*Assumptions!B19</f>
        <v>239.46</v>
      </c>
      <c r="D61" s="29" t="n">
        <f aca="false">D16*Assumptions!B20*Assumptions!B19</f>
        <v>345.84</v>
      </c>
      <c r="E61" s="29" t="n">
        <f aca="false">E16*Assumptions!B20*Assumptions!B19</f>
        <v>432.66</v>
      </c>
      <c r="F61" s="29" t="n">
        <f aca="false">F16*Assumptions!B20*Assumptions!B19</f>
        <v>505.2</v>
      </c>
      <c r="G61" s="29" t="n">
        <f aca="false">G16*Assumptions!B20*Assumptions!B19</f>
        <v>588.42</v>
      </c>
      <c r="H61" s="30" t="n">
        <f aca="false">SUM(B61:G61)</f>
        <v>2243.4</v>
      </c>
    </row>
    <row r="62" customFormat="false" ht="15" hidden="false" customHeight="false" outlineLevel="0" collapsed="false">
      <c r="A62" s="15" t="s">
        <v>135</v>
      </c>
      <c r="B62" s="31" t="n">
        <f aca="false">SUM(B58:B61)</f>
        <v>2865.2425</v>
      </c>
      <c r="C62" s="31" t="n">
        <f aca="false">SUM(C58:C61)</f>
        <v>3522.22875</v>
      </c>
      <c r="D62" s="31" t="n">
        <f aca="false">SUM(D58:D61)</f>
        <v>4181.0525</v>
      </c>
      <c r="E62" s="31" t="n">
        <f aca="false">SUM(E58:E61)</f>
        <v>4311.165</v>
      </c>
      <c r="F62" s="31" t="n">
        <f aca="false">SUM(F58:F61)</f>
        <v>4921.92125</v>
      </c>
      <c r="G62" s="31" t="n">
        <f aca="false">SUM(G58:G61)</f>
        <v>5549.6825</v>
      </c>
      <c r="H62" s="31" t="n">
        <f aca="false">SUM(H58:H61)</f>
        <v>25351.2925</v>
      </c>
    </row>
    <row r="64" customFormat="false" ht="15" hidden="false" customHeight="false" outlineLevel="0" collapsed="false">
      <c r="A64" s="35" t="s">
        <v>136</v>
      </c>
      <c r="B64" s="36" t="n">
        <f aca="false">B54-B62</f>
        <v>-1891.3425</v>
      </c>
      <c r="C64" s="36" t="n">
        <f aca="false">C54-C62</f>
        <v>-1784.47875</v>
      </c>
      <c r="D64" s="36" t="n">
        <f aca="false">D54-D62</f>
        <v>-1569.5525</v>
      </c>
      <c r="E64" s="36" t="n">
        <f aca="false">E54-E62</f>
        <v>-998.964999999999</v>
      </c>
      <c r="F64" s="36" t="n">
        <f aca="false">F54-F62</f>
        <v>-970.571249999999</v>
      </c>
      <c r="G64" s="36" t="n">
        <f aca="false">G54-G62</f>
        <v>-823.1825</v>
      </c>
      <c r="H64" s="36" t="n">
        <f aca="false">H54-H62</f>
        <v>-8038.09250000001</v>
      </c>
    </row>
    <row r="65" customFormat="false" ht="15" hidden="false" customHeight="false" outlineLevel="0" collapsed="false">
      <c r="A65" s="5" t="s">
        <v>137</v>
      </c>
      <c r="B65" s="9" t="n">
        <f aca="false">IF(B47=0,0,B64/B47)</f>
        <v>-0.782548926310563</v>
      </c>
      <c r="C65" s="9" t="n">
        <f aca="false">IF(C47=0,0,C64/C47)</f>
        <v>-0.406417753231225</v>
      </c>
      <c r="D65" s="9" t="n">
        <f aca="false">IF(D47=0,0,D64/D47)</f>
        <v>-0.241897588040379</v>
      </c>
      <c r="E65" s="9" t="n">
        <f aca="false">IF(E47=0,0,E64/E47)</f>
        <v>-0.121525631979757</v>
      </c>
      <c r="F65" s="9" t="n">
        <f aca="false">IF(F47=0,0,F64/F47)</f>
        <v>-0.0995575119116613</v>
      </c>
      <c r="G65" s="9" t="n">
        <f aca="false">IF(G47=0,0,G64/G47)</f>
        <v>-0.0713917436364425</v>
      </c>
      <c r="H65" s="9" t="n">
        <f aca="false">IF(H47=0,0,H64/H47)</f>
        <v>-0.187824769778272</v>
      </c>
    </row>
    <row r="67" customFormat="false" ht="15" hidden="false" customHeight="false" outlineLevel="0" collapsed="false">
      <c r="A67" s="3" t="s">
        <v>138</v>
      </c>
    </row>
    <row r="68" customFormat="false" ht="15" hidden="false" customHeight="false" outlineLevel="0" collapsed="false">
      <c r="A68" s="5" t="s">
        <v>139</v>
      </c>
      <c r="B68" s="13" t="n">
        <v>-15000</v>
      </c>
      <c r="C68" s="5"/>
      <c r="D68" s="5"/>
      <c r="E68" s="5"/>
      <c r="F68" s="5"/>
      <c r="G68" s="5"/>
      <c r="H68" s="5"/>
    </row>
    <row r="69" customFormat="false" ht="15" hidden="false" customHeight="false" outlineLevel="0" collapsed="false">
      <c r="A69" s="15" t="s">
        <v>140</v>
      </c>
      <c r="B69" s="31" t="n">
        <f aca="false">B68+B64</f>
        <v>-16891.3425</v>
      </c>
      <c r="C69" s="31" t="n">
        <f aca="false">B69+C64</f>
        <v>-18675.82125</v>
      </c>
      <c r="D69" s="31" t="n">
        <f aca="false">C69+D64</f>
        <v>-20245.37375</v>
      </c>
      <c r="E69" s="31" t="n">
        <f aca="false">D69+E64</f>
        <v>-21244.33875</v>
      </c>
      <c r="F69" s="31" t="n">
        <f aca="false">E69+F64</f>
        <v>-22214.91</v>
      </c>
      <c r="G69" s="31" t="n">
        <f aca="false">F69+G64</f>
        <v>-23038.0925</v>
      </c>
      <c r="H69" s="31" t="n">
        <f aca="false">G69</f>
        <v>-23038.0925</v>
      </c>
    </row>
    <row r="71" customFormat="false" ht="15" hidden="false" customHeight="false" outlineLevel="0" collapsed="false">
      <c r="A71" s="3" t="s">
        <v>141</v>
      </c>
    </row>
    <row r="72" customFormat="false" ht="15" hidden="false" customHeight="false" outlineLevel="0" collapsed="false">
      <c r="A72" s="5" t="s">
        <v>142</v>
      </c>
      <c r="B72" s="8" t="n">
        <f aca="false">IF(B9=0,0,B59/B9)</f>
        <v>86.9565217391304</v>
      </c>
      <c r="C72" s="8" t="n">
        <f aca="false">IF(C9=0,0,C59/C9)</f>
        <v>64.1025641025641</v>
      </c>
      <c r="D72" s="8" t="n">
        <f aca="false">IF(D9=0,0,D59/D9)</f>
        <v>53.5714285714286</v>
      </c>
      <c r="E72" s="8" t="n">
        <f aca="false">IF(E9=0,0,E59/E9)</f>
        <v>43.4782608695652</v>
      </c>
      <c r="F72" s="8" t="n">
        <f aca="false">IF(F9=0,0,F59/F9)</f>
        <v>43.75</v>
      </c>
      <c r="G72" s="8" t="n">
        <f aca="false">IF(G9=0,0,G59/G9)</f>
        <v>43.010752688172</v>
      </c>
      <c r="H72" s="8" t="n">
        <f aca="false">IF(H9=0,0,H59/H9)</f>
        <v>50</v>
      </c>
    </row>
    <row r="73" customFormat="false" ht="15" hidden="false" customHeight="false" outlineLevel="0" collapsed="false">
      <c r="A73" s="5" t="s">
        <v>143</v>
      </c>
      <c r="B73" s="8" t="n">
        <f aca="false">IF(B9=0,0,B16/B9)</f>
        <v>95.5217391304348</v>
      </c>
      <c r="C73" s="8" t="n">
        <f aca="false">IF(C9=0,0,C16/C9)</f>
        <v>102.333333333333</v>
      </c>
      <c r="D73" s="8" t="n">
        <f aca="false">IF(D9=0,0,D16/D9)</f>
        <v>102.928571428571</v>
      </c>
      <c r="E73" s="8" t="n">
        <f aca="false">IF(E9=0,0,E16/E9)</f>
        <v>104.507246376812</v>
      </c>
      <c r="F73" s="8" t="n">
        <f aca="false">IF(F9=0,0,F16/F9)</f>
        <v>105.25</v>
      </c>
      <c r="G73" s="8" t="n">
        <f aca="false">IF(G9=0,0,G16/G9)</f>
        <v>105.451612903226</v>
      </c>
      <c r="H73" s="8" t="n">
        <f aca="false">IF(H9=0,0,H16/H9)</f>
        <v>103.861111111111</v>
      </c>
    </row>
    <row r="74" customFormat="false" ht="15" hidden="false" customHeight="false" outlineLevel="0" collapsed="false">
      <c r="A74" s="5" t="s">
        <v>144</v>
      </c>
      <c r="B74" s="29" t="n">
        <f aca="false">B30*Assumptions!C12</f>
        <v>69.9</v>
      </c>
      <c r="C74" s="29" t="n">
        <f aca="false">C30*Assumptions!C12</f>
        <v>174.75</v>
      </c>
      <c r="D74" s="29" t="n">
        <f aca="false">D30*Assumptions!C12</f>
        <v>349.5</v>
      </c>
      <c r="E74" s="29" t="n">
        <f aca="false">E30*Assumptions!C12</f>
        <v>559.2</v>
      </c>
      <c r="F74" s="29" t="n">
        <f aca="false">F30*Assumptions!C12</f>
        <v>803.85</v>
      </c>
      <c r="G74" s="29" t="n">
        <f aca="false">G30*Assumptions!C12</f>
        <v>1048.5</v>
      </c>
      <c r="H74" s="30" t="n">
        <f aca="false">G74</f>
        <v>1048.5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2026-04-27T19:11:52Z</dcterms:created>
  <dc:creator>openpyxl</dc:creator>
  <dc:description/>
  <dc:language>en-US</dc:language>
  <cp:lastModifiedBy/>
  <dcterms:modified xsi:type="dcterms:W3CDTF">2026-04-27T19:11:52Z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