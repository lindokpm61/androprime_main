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6-Month P&amp;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<sst xmlns="http://schemas.openxmlformats.org/spreadsheetml/2006/main" count="178" uniqueCount="161">
  <si>
    <t xml:space="preserve">ANDRO PRIME — PHASE 0 FINANCIAL MODEL V7.2</t>
  </si>
  <si>
    <t xml:space="preserve">Organic-First | Zero Paid Media | Premium Positioning | April 2026</t>
  </si>
  <si>
    <t xml:space="preserve">KIT UNIT ECONOMICS (Vitall Finger-Prick)</t>
  </si>
  <si>
    <t xml:space="preserve">COGS (Vitall)</t>
  </si>
  <si>
    <t xml:space="preserve">Retail Price</t>
  </si>
  <si>
    <t xml:space="preserve">Gross Margin £</t>
  </si>
  <si>
    <t xml:space="preserve">Gross Margin %</t>
  </si>
  <si>
    <t xml:space="preserve">Kit 1 — Hormone Check</t>
  </si>
  <si>
    <t xml:space="preserve">Kit 2 — Energy &amp; Metabolism</t>
  </si>
  <si>
    <t xml:space="preserve">Kit 3 — Combo Test</t>
  </si>
  <si>
    <t xml:space="preserve">SUPPLEMENT UNIT ECONOMICS (Market Research Est.)</t>
  </si>
  <si>
    <t xml:space="preserve">COGS (Est.)</t>
  </si>
  <si>
    <t xml:space="preserve">Sub Price /mo</t>
  </si>
  <si>
    <t xml:space="preserve">Daily Stack</t>
  </si>
  <si>
    <t xml:space="preserve">Joint &amp; Recovery Collagen</t>
  </si>
  <si>
    <t xml:space="preserve">Complete Stack (Bundle)</t>
  </si>
  <si>
    <t xml:space="preserve">OPERATING ASSUMPTIONS</t>
  </si>
  <si>
    <t xml:space="preserve">Assumption</t>
  </si>
  <si>
    <t xml:space="preserve">Value</t>
  </si>
  <si>
    <t xml:space="preserve">Notes</t>
  </si>
  <si>
    <t xml:space="preserve">Payment processing (Stripe %)</t>
  </si>
  <si>
    <t xml:space="preserve">Applied to all revenue</t>
  </si>
  <si>
    <t xml:space="preserve">Affiliate commission rate</t>
  </si>
  <si>
    <t xml:space="preserve">12.5% (reduced from 20%)</t>
  </si>
  <si>
    <t xml:space="preserve">Affiliate mix (% of kit sales)</t>
  </si>
  <si>
    <t xml:space="preserve">Conservative — organic-led model</t>
  </si>
  <si>
    <t xml:space="preserve">Kit-to-supplement conversion</t>
  </si>
  <si>
    <t xml:space="preserve">12% of Kit 2/3 buyers</t>
  </si>
  <si>
    <t xml:space="preserve">Supplement monthly churn</t>
  </si>
  <si>
    <t xml:space="preserve">3% monthly</t>
  </si>
  <si>
    <t xml:space="preserve">Founding member deposit £</t>
  </si>
  <si>
    <t xml:space="preserve">£75 per deposit</t>
  </si>
  <si>
    <t xml:space="preserve">Low-T rate (Kit 1 + Kit 3)</t>
  </si>
  <si>
    <t xml:space="preserve">35% of testosterone-tested men</t>
  </si>
  <si>
    <t xml:space="preserve">Deposit conversion (of low-T)</t>
  </si>
  <si>
    <t xml:space="preserve">50% of low-T results deposit</t>
  </si>
  <si>
    <t xml:space="preserve">Paid media budget /month</t>
  </si>
  <si>
    <t xml:space="preserve">Zero — organic/affiliate only</t>
  </si>
  <si>
    <t xml:space="preserve">MONTHLY FIXED OVERHEAD</t>
  </si>
  <si>
    <t xml:space="preserve">Cost Item</t>
  </si>
  <si>
    <t xml:space="preserve">Monthly £</t>
  </si>
  <si>
    <t xml:space="preserve">Website hosting</t>
  </si>
  <si>
    <t xml:space="preserve">Vercel free tier → ~£25</t>
  </si>
  <si>
    <t xml:space="preserve">Domain &amp; SSL</t>
  </si>
  <si>
    <t xml:space="preserve">~£60/year</t>
  </si>
  <si>
    <t xml:space="preserve">Email/CRM (Customer.io)</t>
  </si>
  <si>
    <t xml:space="preserve">Essentials plan, small list</t>
  </si>
  <si>
    <t xml:space="preserve">Design tools (Canva Pro)</t>
  </si>
  <si>
    <t xml:space="preserve">£155/year</t>
  </si>
  <si>
    <t xml:space="preserve">Bookkeeping / accountant</t>
  </si>
  <si>
    <t xml:space="preserve">Monthly retainer</t>
  </si>
  <si>
    <t xml:space="preserve">Product liability insurance</t>
  </si>
  <si>
    <t xml:space="preserve">~£900/year</t>
  </si>
  <si>
    <t xml:space="preserve">Customer support tools</t>
  </si>
  <si>
    <t xml:space="preserve">Free tier initially (Crisp/Tawk)</t>
  </si>
  <si>
    <t xml:space="preserve">Phone/comms</t>
  </si>
  <si>
    <t xml:space="preserve">Business mobile</t>
  </si>
  <si>
    <t xml:space="preserve">Misc/contingency</t>
  </si>
  <si>
    <t xml:space="preserve">Returns, replacements, postage</t>
  </si>
  <si>
    <t xml:space="preserve">FSA compliance review</t>
  </si>
  <si>
    <t xml:space="preserve">~£500/year periodic</t>
  </si>
  <si>
    <t xml:space="preserve">ICO data protection fee</t>
  </si>
  <si>
    <t xml:space="preserve">£35/year Tier 1</t>
  </si>
  <si>
    <t xml:space="preserve">TOTAL MONTHLY OVERHEAD</t>
  </si>
  <si>
    <t xml:space="preserve">LAUNCH CAPITAL (Vitall white-label = £0)</t>
  </si>
  <si>
    <t xml:space="preserve">Item</t>
  </si>
  <si>
    <t xml:space="preserve">Amount</t>
  </si>
  <si>
    <t xml:space="preserve">Website build (tooling costs)</t>
  </si>
  <si>
    <t xml:space="preserve">£0 — Vitall white-label, all costs in per-kit COGS</t>
  </si>
  <si>
    <t xml:space="preserve">Packaging design / branding</t>
  </si>
  <si>
    <t xml:space="preserve">£0 — Vitall handles packaging</t>
  </si>
  <si>
    <t xml:space="preserve">Lab partner setup (Vitall)</t>
  </si>
  <si>
    <t xml:space="preserve">£0 — No setup fee</t>
  </si>
  <si>
    <t xml:space="preserve">Contingency</t>
  </si>
  <si>
    <t xml:space="preserve">£0 — No contingency needed</t>
  </si>
  <si>
    <t xml:space="preserve">TOTAL LAUNCH CAPITAL (Kits Only)</t>
  </si>
  <si>
    <t xml:space="preserve">SUPPLEMENT CAPITAL (Self-Funded from Kit Revenue)</t>
  </si>
  <si>
    <t xml:space="preserve">Daily Stack MOQ (500-1000 units)</t>
  </si>
  <si>
    <t xml:space="preserve">Funded from accumulated kit profits — order when cash available</t>
  </si>
  <si>
    <t xml:space="preserve">Collagen MOQ (500 units)</t>
  </si>
  <si>
    <t xml:space="preserve">Funded from accumulated kit profits</t>
  </si>
  <si>
    <t xml:space="preserve">Label design + compliance review</t>
  </si>
  <si>
    <t xml:space="preserve">FSA-compliant labels, Ewa review</t>
  </si>
  <si>
    <t xml:space="preserve">Stability testing (2 SKUs)</t>
  </si>
  <si>
    <t xml:space="preserve">Non-negotiable for FSA compliance</t>
  </si>
  <si>
    <t xml:space="preserve">TOTAL SUPPLEMENT CAPITAL</t>
  </si>
  <si>
    <t xml:space="preserve">PHASED OPTION: Daily Stack Only First</t>
  </si>
  <si>
    <t xml:space="preserve">Daily Stack MOQ (500 units)</t>
  </si>
  <si>
    <t xml:space="preserve">Reachable by ~Month 4-5 from kit profits</t>
  </si>
  <si>
    <t xml:space="preserve">Label + compliance (1 SKU)</t>
  </si>
  <si>
    <t xml:space="preserve">This is your minimum monthly kit target</t>
  </si>
  <si>
    <t xml:space="preserve">Stability testing (1 SKU)</t>
  </si>
  <si>
    <t xml:space="preserve">TOTAL PHASED SUPPLEMENT CAPITAL</t>
  </si>
  <si>
    <t xml:space="preserve">MONTHLY BREAKEVEN ANALYSIS</t>
  </si>
  <si>
    <t xml:space="preserve">Blended kit margin (after COGS, Stripe, affiliate)</t>
  </si>
  <si>
    <t xml:space="preserve">Average across all 3 kits, weighted by affiliate mix</t>
  </si>
  <si>
    <t xml:space="preserve">Kits needed per month to cover overhead</t>
  </si>
  <si>
    <t xml:space="preserve">That's approximately per week</t>
  </si>
  <si>
    <t xml:space="preserve">Months to accumulate full supplement capital (£9k)</t>
  </si>
  <si>
    <t xml:space="preserve">At ~25 kits/month average</t>
  </si>
  <si>
    <t xml:space="preserve">Months to accumulate phased capital (Daily Stack only)</t>
  </si>
  <si>
    <t xml:space="preserve">PHASE 0 — 6-MONTH P&amp;L (V7.2)</t>
  </si>
  <si>
    <t xml:space="preserve">Organic-First | Zero Paid Media | Cash-Positive Target Month 1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</si>
  <si>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</si>
  <si>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</si>
  <si>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</si>
  <si>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</si>
  <si>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</si>
  <si>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</si>
  <si>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6-Mo Total</t>
  </si>
  <si>
    <t xml:space="preserve">KIT SALES VOLUME</t>
  </si>
  <si>
    <t xml:space="preserve">Total Kits Sold</t>
  </si>
  <si>
    <t xml:space="preserve">Cumulative Kits</t>
  </si>
  <si>
    <t xml:space="preserve">KIT REVENUE</t>
  </si>
  <si>
    <t xml:space="preserve">Kit 1 — Revenue Hormone Check</t>
  </si>
  <si>
    <t xml:space="preserve">Kit 2 — Revenue Energy &amp; Metabolism</t>
  </si>
  <si>
    <t xml:space="preserve">Kit 3 — Revenue Combo Test</t>
  </si>
  <si>
    <t xml:space="preserve">Total Kit Revenue</t>
  </si>
  <si>
    <t xml:space="preserve">KIT COGS</t>
  </si>
  <si>
    <t xml:space="preserve">Kit 1 — COGS Hormone Check</t>
  </si>
  <si>
    <t xml:space="preserve">Kit 2 — COGS Energy &amp; Metabolism</t>
  </si>
  <si>
    <t xml:space="preserve">Kit 3 — COGS Combo Test</t>
  </si>
  <si>
    <t xml:space="preserve">Total Kit COGS</t>
  </si>
  <si>
    <t xml:space="preserve">Kit Gross Profit</t>
  </si>
  <si>
    <t xml:space="preserve">Kit Gross Margin %</t>
  </si>
  <si>
    <t xml:space="preserve">SUPPLEMENT SUBSCRIBERS</t>
  </si>
  <si>
    <t xml:space="preserve">New subs (12% of Kit 2+3 buyers)</t>
  </si>
  <si>
    <t xml:space="preserve">Churned subs</t>
  </si>
  <si>
    <t xml:space="preserve">Active Subscribers (EOM)</t>
  </si>
  <si>
    <t xml:space="preserve">SUPPLEMENT FINANCIALS</t>
  </si>
  <si>
    <t xml:space="preserve">Supplement Revenue</t>
  </si>
  <si>
    <t xml:space="preserve">Supplement COGS</t>
  </si>
  <si>
    <t xml:space="preserve">Supplement Gross Profit</t>
  </si>
  <si>
    <t xml:space="preserve">FOUNDING MEMBER DEPOSITS</t>
  </si>
  <si>
    <t xml:space="preserve">T-kits sold (Kit 1 + Kit 3)</t>
  </si>
  <si>
    <t xml:space="preserve">Low-T results (35%)</t>
  </si>
  <si>
    <t xml:space="preserve">Deposits secured (50%)</t>
  </si>
  <si>
    <t xml:space="preserve">Deposit Revenue</t>
  </si>
  <si>
    <t xml:space="preserve">REVENUE SUMMARY</t>
  </si>
  <si>
    <t xml:space="preserve">Kit Revenue</t>
  </si>
  <si>
    <t xml:space="preserve">TOTAL REVENUE</t>
  </si>
  <si>
    <t xml:space="preserve">TOTAL COGS</t>
  </si>
  <si>
    <t xml:space="preserve">Kit COGS</t>
  </si>
  <si>
    <t xml:space="preserve">GROSS PROFIT</t>
  </si>
  <si>
    <t xml:space="preserve">OPERATING EXPENSES</t>
  </si>
  <si>
    <t xml:space="preserve">Fixed Overhead</t>
  </si>
  <si>
    <t xml:space="preserve">Paid Media</t>
  </si>
  <si>
    <t xml:space="preserve">Payment Processing (Stripe)</t>
  </si>
  <si>
    <t xml:space="preserve">Affiliate Commissions</t>
  </si>
  <si>
    <t xml:space="preserve">TOTAL OPEX</t>
  </si>
  <si>
    <t xml:space="preserve">NET MONTHLY CONTRIBUTION</t>
  </si>
  <si>
    <t xml:space="preserve">Net Margin %</t>
  </si>
  <si>
    <t xml:space="preserve">CASH POSITION</t>
  </si>
  <si>
    <t xml:space="preserve">Launch Capital (£0 — Vitall white-label)</t>
  </si>
  <si>
    <t xml:space="preserve">Supplement Capital (phased — when funded)</t>
  </si>
  <si>
    <t xml:space="preserve">Cumulative Cash Position</t>
  </si>
  <si>
    <t xml:space="preserve">KEY METRICS</t>
  </si>
  <si>
    <t xml:space="preserve">Blended Revenue per Kit</t>
  </si>
  <si>
    <t xml:space="preserve">Supplement MRR (EOM)</t>
  </si>
  <si>
    <t xml:space="preserve">Founding Member Deposits (cumulative)</t>
  </si>
  <si>
    <t xml:space="preserve">Kit Revenue as % of 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</si>
</sst>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.00"/>
    <numFmt numFmtId="166" formatCode="0.0%"/>
    <numFmt numFmtId="167" formatCode="\£#,##0"/>
    <numFmt numFmtId="168" formatCode="\£#,##0"/>
    <numFmt numFmtId="169" formatCode="\£#,##0.00"/>
    <numFmt numFmtId="170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/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6" t="s">
        <v>7</v>
      </c>
      <c r="B6" s="7" t="n">
        <v>58.5</v>
      </c>
      <c r="C6" s="8" t="n">
        <v>89</v>
      </c>
      <c r="D6" s="9" t="n">
        <f aca="false">C6-B6</f>
        <v>30.5</v>
      </c>
      <c r="E6" s="10" t="n">
        <f aca="false">D6/C6</f>
        <v>0.342696629213483</v>
      </c>
    </row>
    <row r="7" customFormat="false" ht="15" hidden="false" customHeight="true" outlineLevel="0" collapsed="false">
      <c r="A7" s="6" t="s">
        <v>8</v>
      </c>
      <c r="B7" s="7" t="n">
        <v>63</v>
      </c>
      <c r="C7" s="8" t="n">
        <v>99</v>
      </c>
      <c r="D7" s="9" t="n">
        <f aca="false">C7-B7</f>
        <v>36</v>
      </c>
      <c r="E7" s="10" t="n">
        <f aca="false">D7/C7</f>
        <v>0.363636363636364</v>
      </c>
    </row>
    <row r="8" customFormat="false" ht="15" hidden="false" customHeight="true" outlineLevel="0" collapsed="false">
      <c r="A8" s="6" t="s">
        <v>9</v>
      </c>
      <c r="B8" s="7" t="n">
        <v>98</v>
      </c>
      <c r="C8" s="8" t="n">
        <v>149</v>
      </c>
      <c r="D8" s="9" t="n">
        <f aca="false">C8-B8</f>
        <v>51</v>
      </c>
      <c r="E8" s="10" t="n">
        <f aca="false">D8/C8</f>
        <v>0.342281879194631</v>
      </c>
    </row>
    <row r="10" customFormat="false" ht="15" hidden="false" customHeight="true" outlineLevel="0" collapsed="false">
      <c r="A10" s="4" t="s">
        <v>10</v>
      </c>
    </row>
    <row r="11" customFormat="false" ht="15" hidden="false" customHeight="true" outlineLevel="0" collapsed="false">
      <c r="A11" s="5"/>
      <c r="B11" s="5" t="s">
        <v>11</v>
      </c>
      <c r="C11" s="5" t="s">
        <v>12</v>
      </c>
      <c r="D11" s="5" t="s">
        <v>5</v>
      </c>
      <c r="E11" s="5" t="s">
        <v>6</v>
      </c>
    </row>
    <row r="12" customFormat="false" ht="15" hidden="false" customHeight="true" outlineLevel="0" collapsed="false">
      <c r="A12" s="6" t="s">
        <v>13</v>
      </c>
      <c r="B12" s="11" t="n">
        <v>15</v>
      </c>
      <c r="C12" s="7" t="n">
        <v>34.95</v>
      </c>
      <c r="D12" s="9" t="n">
        <f aca="false">C12-B12</f>
        <v>19.95</v>
      </c>
      <c r="E12" s="10" t="n">
        <f aca="false">D12/C12</f>
        <v>0.570815450643777</v>
      </c>
    </row>
    <row r="13" customFormat="false" ht="15" hidden="false" customHeight="true" outlineLevel="0" collapsed="false">
      <c r="A13" s="6" t="s">
        <v>14</v>
      </c>
      <c r="B13" s="11" t="n">
        <v>13</v>
      </c>
      <c r="C13" s="7" t="n">
        <v>29.95</v>
      </c>
      <c r="D13" s="9" t="n">
        <f aca="false">C13-B13</f>
        <v>16.95</v>
      </c>
      <c r="E13" s="10" t="n">
        <f aca="false">D13/C13</f>
        <v>0.565943238731219</v>
      </c>
    </row>
    <row r="14" customFormat="false" ht="15" hidden="false" customHeight="true" outlineLevel="0" collapsed="false">
      <c r="A14" s="6" t="s">
        <v>15</v>
      </c>
      <c r="B14" s="9" t="n">
        <f aca="false">B12+B13</f>
        <v>28</v>
      </c>
      <c r="C14" s="7" t="n">
        <v>54.95</v>
      </c>
      <c r="D14" s="9" t="n">
        <f aca="false">C14-B14</f>
        <v>26.95</v>
      </c>
      <c r="E14" s="10" t="n">
        <f aca="false">D14/C14</f>
        <v>0.490445859872611</v>
      </c>
    </row>
    <row r="16" customFormat="false" ht="15" hidden="false" customHeight="true" outlineLevel="0" collapsed="false">
      <c r="A16" s="4" t="s">
        <v>16</v>
      </c>
    </row>
    <row r="17" customFormat="false" ht="15" hidden="false" customHeight="true" outlineLevel="0" collapsed="false">
      <c r="A17" s="5" t="s">
        <v>17</v>
      </c>
      <c r="B17" s="5" t="s">
        <v>18</v>
      </c>
      <c r="C17" s="5" t="s">
        <v>19</v>
      </c>
    </row>
    <row r="18" customFormat="false" ht="15" hidden="false" customHeight="true" outlineLevel="0" collapsed="false">
      <c r="A18" s="6" t="s">
        <v>20</v>
      </c>
      <c r="B18" s="12" t="n">
        <v>0.025</v>
      </c>
      <c r="C18" s="13" t="s">
        <v>21</v>
      </c>
    </row>
    <row r="19" customFormat="false" ht="15" hidden="false" customHeight="true" outlineLevel="0" collapsed="false">
      <c r="A19" s="6" t="s">
        <v>22</v>
      </c>
      <c r="B19" s="12" t="n">
        <v>0.125</v>
      </c>
      <c r="C19" s="13" t="s">
        <v>23</v>
      </c>
    </row>
    <row r="20" customFormat="false" ht="15" hidden="false" customHeight="true" outlineLevel="0" collapsed="false">
      <c r="A20" s="6" t="s">
        <v>24</v>
      </c>
      <c r="B20" s="12" t="n">
        <v>0.2</v>
      </c>
      <c r="C20" s="13" t="s">
        <v>25</v>
      </c>
    </row>
    <row r="21" customFormat="false" ht="15" hidden="false" customHeight="true" outlineLevel="0" collapsed="false">
      <c r="A21" s="6" t="s">
        <v>26</v>
      </c>
      <c r="B21" s="12" t="n">
        <v>0.12</v>
      </c>
      <c r="C21" s="13" t="s">
        <v>27</v>
      </c>
    </row>
    <row r="22" customFormat="false" ht="15" hidden="false" customHeight="true" outlineLevel="0" collapsed="false">
      <c r="A22" s="6" t="s">
        <v>28</v>
      </c>
      <c r="B22" s="12" t="n">
        <v>0.03</v>
      </c>
      <c r="C22" s="13" t="s">
        <v>29</v>
      </c>
    </row>
    <row r="23" customFormat="false" ht="15" hidden="false" customHeight="true" outlineLevel="0" collapsed="false">
      <c r="A23" s="6" t="s">
        <v>30</v>
      </c>
      <c r="B23" s="14" t="n">
        <v>75</v>
      </c>
      <c r="C23" s="13" t="s">
        <v>31</v>
      </c>
    </row>
    <row r="24" customFormat="false" ht="15" hidden="false" customHeight="true" outlineLevel="0" collapsed="false">
      <c r="A24" s="6" t="s">
        <v>32</v>
      </c>
      <c r="B24" s="12" t="n">
        <v>0.35</v>
      </c>
      <c r="C24" s="13" t="s">
        <v>33</v>
      </c>
    </row>
    <row r="25" customFormat="false" ht="15" hidden="false" customHeight="true" outlineLevel="0" collapsed="false">
      <c r="A25" s="6" t="s">
        <v>34</v>
      </c>
      <c r="B25" s="12" t="n">
        <v>0.5</v>
      </c>
      <c r="C25" s="13" t="s">
        <v>35</v>
      </c>
    </row>
    <row r="26" customFormat="false" ht="15" hidden="false" customHeight="true" outlineLevel="0" collapsed="false">
      <c r="A26" s="6" t="s">
        <v>36</v>
      </c>
      <c r="B26" s="14" t="n">
        <v>0</v>
      </c>
      <c r="C26" s="13" t="s">
        <v>37</v>
      </c>
    </row>
    <row r="28" customFormat="false" ht="15" hidden="false" customHeight="true" outlineLevel="0" collapsed="false">
      <c r="A28" s="4" t="s">
        <v>38</v>
      </c>
    </row>
    <row r="29" customFormat="false" ht="15" hidden="false" customHeight="true" outlineLevel="0" collapsed="false">
      <c r="A29" s="5" t="s">
        <v>39</v>
      </c>
      <c r="B29" s="5" t="s">
        <v>40</v>
      </c>
      <c r="C29" s="5" t="s">
        <v>19</v>
      </c>
    </row>
    <row r="30" customFormat="false" ht="15" hidden="false" customHeight="true" outlineLevel="0" collapsed="false">
      <c r="A30" s="6" t="s">
        <v>41</v>
      </c>
      <c r="B30" s="14" t="n">
        <v>25</v>
      </c>
      <c r="C30" s="13" t="s">
        <v>42</v>
      </c>
    </row>
    <row r="31" customFormat="false" ht="15" hidden="false" customHeight="true" outlineLevel="0" collapsed="false">
      <c r="A31" s="6" t="s">
        <v>43</v>
      </c>
      <c r="B31" s="14" t="n">
        <v>5</v>
      </c>
      <c r="C31" s="13" t="s">
        <v>44</v>
      </c>
    </row>
    <row r="32" customFormat="false" ht="15" hidden="false" customHeight="true" outlineLevel="0" collapsed="false">
      <c r="A32" s="6" t="s">
        <v>45</v>
      </c>
      <c r="B32" s="14" t="n">
        <v>150</v>
      </c>
      <c r="C32" s="13" t="s">
        <v>46</v>
      </c>
    </row>
    <row r="33" customFormat="false" ht="15" hidden="false" customHeight="true" outlineLevel="0" collapsed="false">
      <c r="A33" s="6" t="s">
        <v>47</v>
      </c>
      <c r="B33" s="14" t="n">
        <v>13</v>
      </c>
      <c r="C33" s="13" t="s">
        <v>48</v>
      </c>
    </row>
    <row r="34" customFormat="false" ht="15" hidden="false" customHeight="true" outlineLevel="0" collapsed="false">
      <c r="A34" s="6" t="s">
        <v>49</v>
      </c>
      <c r="B34" s="14" t="n">
        <v>200</v>
      </c>
      <c r="C34" s="13" t="s">
        <v>50</v>
      </c>
    </row>
    <row r="35" customFormat="false" ht="15" hidden="false" customHeight="true" outlineLevel="0" collapsed="false">
      <c r="A35" s="6" t="s">
        <v>51</v>
      </c>
      <c r="B35" s="14" t="n">
        <v>75</v>
      </c>
      <c r="C35" s="13" t="s">
        <v>52</v>
      </c>
    </row>
    <row r="36" customFormat="false" ht="15" hidden="false" customHeight="true" outlineLevel="0" collapsed="false">
      <c r="A36" s="6" t="s">
        <v>53</v>
      </c>
      <c r="B36" s="14" t="n">
        <v>0</v>
      </c>
      <c r="C36" s="13" t="s">
        <v>54</v>
      </c>
    </row>
    <row r="37" customFormat="false" ht="15" hidden="false" customHeight="true" outlineLevel="0" collapsed="false">
      <c r="A37" s="6" t="s">
        <v>55</v>
      </c>
      <c r="B37" s="14" t="n">
        <v>30</v>
      </c>
      <c r="C37" s="13" t="s">
        <v>56</v>
      </c>
    </row>
    <row r="38" customFormat="false" ht="15" hidden="false" customHeight="true" outlineLevel="0" collapsed="false">
      <c r="A38" s="6" t="s">
        <v>57</v>
      </c>
      <c r="B38" s="14" t="n">
        <v>50</v>
      </c>
      <c r="C38" s="13" t="s">
        <v>58</v>
      </c>
    </row>
    <row r="39" customFormat="false" ht="15" hidden="false" customHeight="true" outlineLevel="0" collapsed="false">
      <c r="A39" s="6" t="s">
        <v>59</v>
      </c>
      <c r="B39" s="14" t="n">
        <v>42</v>
      </c>
      <c r="C39" s="13" t="s">
        <v>60</v>
      </c>
    </row>
    <row r="40" customFormat="false" ht="15" hidden="false" customHeight="true" outlineLevel="0" collapsed="false">
      <c r="A40" s="6" t="s">
        <v>61</v>
      </c>
      <c r="B40" s="14" t="n">
        <v>3</v>
      </c>
      <c r="C40" s="13" t="s">
        <v>62</v>
      </c>
    </row>
    <row r="42" customFormat="false" ht="15" hidden="false" customHeight="true" outlineLevel="0" collapsed="false">
      <c r="A42" s="15" t="s">
        <v>63</v>
      </c>
      <c r="B42" s="16" t="n">
        <f aca="false">SUM(B30:B40)</f>
        <v>593</v>
      </c>
      <c r="C42" s="6"/>
    </row>
    <row r="44" customFormat="false" ht="15" hidden="false" customHeight="true" outlineLevel="0" collapsed="false">
      <c r="A44" s="4" t="s">
        <v>64</v>
      </c>
    </row>
    <row r="45" customFormat="false" ht="15" hidden="false" customHeight="true" outlineLevel="0" collapsed="false">
      <c r="A45" s="5" t="s">
        <v>65</v>
      </c>
      <c r="B45" s="5" t="s">
        <v>66</v>
      </c>
      <c r="C45" s="5" t="s">
        <v>19</v>
      </c>
    </row>
    <row r="46" customFormat="false" ht="15" hidden="false" customHeight="true" outlineLevel="0" collapsed="false">
      <c r="A46" s="6" t="s">
        <v>67</v>
      </c>
      <c r="B46" s="14" t="n">
        <v>0</v>
      </c>
      <c r="C46" s="13" t="s">
        <v>68</v>
      </c>
    </row>
    <row r="47" customFormat="false" ht="15" hidden="false" customHeight="true" outlineLevel="0" collapsed="false">
      <c r="A47" s="6" t="s">
        <v>69</v>
      </c>
      <c r="B47" s="14" t="n">
        <v>0</v>
      </c>
      <c r="C47" s="13" t="s">
        <v>70</v>
      </c>
    </row>
    <row r="48" customFormat="false" ht="15" hidden="false" customHeight="true" outlineLevel="0" collapsed="false">
      <c r="A48" s="6" t="s">
        <v>71</v>
      </c>
      <c r="B48" s="14" t="n">
        <v>0</v>
      </c>
      <c r="C48" s="13" t="s">
        <v>72</v>
      </c>
    </row>
    <row r="49" customFormat="false" ht="15" hidden="false" customHeight="true" outlineLevel="0" collapsed="false">
      <c r="A49" s="6" t="s">
        <v>73</v>
      </c>
      <c r="B49" s="14" t="n">
        <v>0</v>
      </c>
      <c r="C49" s="13" t="s">
        <v>74</v>
      </c>
    </row>
    <row r="50" customFormat="false" ht="15" hidden="false" customHeight="true" outlineLevel="0" collapsed="false">
      <c r="A50" s="15" t="s">
        <v>75</v>
      </c>
      <c r="B50" s="16" t="n">
        <f aca="false">SUM(B46:B49)</f>
        <v>0</v>
      </c>
      <c r="C50" s="6"/>
    </row>
    <row r="52" customFormat="false" ht="15" hidden="false" customHeight="true" outlineLevel="0" collapsed="false">
      <c r="A52" s="4" t="s">
        <v>76</v>
      </c>
    </row>
    <row r="53" customFormat="false" ht="15" hidden="false" customHeight="true" outlineLevel="0" collapsed="false">
      <c r="A53" s="5" t="s">
        <v>65</v>
      </c>
      <c r="B53" s="5" t="s">
        <v>66</v>
      </c>
      <c r="C53" s="5" t="s">
        <v>19</v>
      </c>
    </row>
    <row r="54" customFormat="false" ht="15" hidden="false" customHeight="true" outlineLevel="0" collapsed="false">
      <c r="A54" s="6" t="s">
        <v>77</v>
      </c>
      <c r="B54" s="14" t="n">
        <v>4000</v>
      </c>
      <c r="C54" s="13" t="s">
        <v>78</v>
      </c>
    </row>
    <row r="55" customFormat="false" ht="15" hidden="false" customHeight="true" outlineLevel="0" collapsed="false">
      <c r="A55" s="6" t="s">
        <v>79</v>
      </c>
      <c r="B55" s="14" t="n">
        <v>1500</v>
      </c>
      <c r="C55" s="13" t="s">
        <v>80</v>
      </c>
    </row>
    <row r="56" customFormat="false" ht="15" hidden="false" customHeight="true" outlineLevel="0" collapsed="false">
      <c r="A56" s="6" t="s">
        <v>81</v>
      </c>
      <c r="B56" s="14" t="n">
        <v>2000</v>
      </c>
      <c r="C56" s="13" t="s">
        <v>82</v>
      </c>
    </row>
    <row r="57" customFormat="false" ht="15" hidden="false" customHeight="true" outlineLevel="0" collapsed="false">
      <c r="A57" s="6" t="s">
        <v>83</v>
      </c>
      <c r="B57" s="14" t="n">
        <v>1500</v>
      </c>
      <c r="C57" s="13" t="s">
        <v>84</v>
      </c>
    </row>
    <row r="58" customFormat="false" ht="15" hidden="false" customHeight="true" outlineLevel="0" collapsed="false">
      <c r="A58" s="15" t="s">
        <v>85</v>
      </c>
      <c r="B58" s="16" t="n">
        <f aca="false">SUM(B54:B57)</f>
        <v>9000</v>
      </c>
      <c r="C58" s="6"/>
    </row>
    <row r="60" customFormat="false" ht="15" hidden="false" customHeight="true" outlineLevel="0" collapsed="false">
      <c r="A60" s="4" t="s">
        <v>86</v>
      </c>
    </row>
    <row r="61" customFormat="false" ht="15" hidden="false" customHeight="true" outlineLevel="0" collapsed="false">
      <c r="A61" s="6" t="s">
        <v>87</v>
      </c>
      <c r="B61" s="17" t="n">
        <v>4000</v>
      </c>
      <c r="C61" s="13" t="s">
        <v>88</v>
      </c>
    </row>
    <row r="62" customFormat="false" ht="15" hidden="false" customHeight="true" outlineLevel="0" collapsed="false">
      <c r="A62" s="15" t="s">
        <v>89</v>
      </c>
      <c r="B62" s="17" t="n">
        <v>1200</v>
      </c>
      <c r="C62" s="13" t="s">
        <v>90</v>
      </c>
    </row>
    <row r="63" customFormat="false" ht="15" hidden="false" customHeight="true" outlineLevel="0" collapsed="false">
      <c r="A63" s="6" t="s">
        <v>91</v>
      </c>
      <c r="B63" s="17" t="n">
        <v>750</v>
      </c>
      <c r="C63" s="6"/>
    </row>
    <row r="64" customFormat="false" ht="15" hidden="false" customHeight="false" outlineLevel="0" collapsed="false">
      <c r="A64" s="18" t="s">
        <v>92</v>
      </c>
      <c r="B64" s="19" t="n">
        <f aca="false">SUM(B61:B63)</f>
        <v>5950</v>
      </c>
    </row>
    <row r="66" customFormat="false" ht="15" hidden="false" customHeight="false" outlineLevel="0" collapsed="false">
      <c r="A66" s="20" t="s">
        <v>93</v>
      </c>
    </row>
    <row r="67" customFormat="false" ht="15" hidden="false" customHeight="false" outlineLevel="0" collapsed="false">
      <c r="A67" s="1" t="s">
        <v>94</v>
      </c>
      <c r="B67" s="21" t="n">
        <f aca="false">(1-B20)*(((C6-B6)-C6*B18)+(C7-B7-C7*B18)+(C8-B8-C8*B18))/3 + B20*(((C6-B6)-C6*B18-C6*B19)+((C7-B7)-C7*B18-C7*B19)+((C8-B8)-C8*B18-C8*B19))/3</f>
        <v>33.55</v>
      </c>
      <c r="C67" s="22" t="s">
        <v>95</v>
      </c>
    </row>
    <row r="68" customFormat="false" ht="15" hidden="false" customHeight="false" outlineLevel="0" collapsed="false">
      <c r="A68" s="18" t="s">
        <v>96</v>
      </c>
      <c r="B68" s="23" t="n">
        <f aca="false">ROUNDUP(B42/B67,0)</f>
        <v>18</v>
      </c>
      <c r="C68" s="22" t="s">
        <v>90</v>
      </c>
    </row>
    <row r="69" customFormat="false" ht="15" hidden="false" customHeight="false" outlineLevel="0" collapsed="false">
      <c r="A69" s="1" t="s">
        <v>97</v>
      </c>
      <c r="B69" s="23" t="n">
        <f aca="false">ROUNDUP(B68/4.33,0)</f>
        <v>5</v>
      </c>
    </row>
    <row r="71" customFormat="false" ht="15" hidden="false" customHeight="false" outlineLevel="0" collapsed="false">
      <c r="A71" s="18" t="s">
        <v>98</v>
      </c>
      <c r="B71" s="23" t="n">
        <f aca="false">ROUNDUP(B58/((B67*25)-B42),0)</f>
        <v>37</v>
      </c>
      <c r="C71" s="22" t="s">
        <v>99</v>
      </c>
    </row>
    <row r="72" customFormat="false" ht="15" hidden="false" customHeight="false" outlineLevel="0" collapsed="false">
      <c r="A72" s="18" t="s">
        <v>100</v>
      </c>
      <c r="B72" s="23" t="n">
        <f aca="false">ROUNDUP(B64/((B67*25)-B42),0)</f>
        <v>25</v>
      </c>
      <c r="C72" s="2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5"/>
  </cols>
  <sheetData>
    <row r="1" customFormat="false" ht="17.25" hidden="false" customHeight="true" outlineLevel="0" collapsed="false">
      <c r="A1" s="2" t="s">
        <v>101</v>
      </c>
    </row>
    <row r="2" customFormat="false" ht="15" hidden="false" customHeight="true" outlineLevel="0" collapsed="false">
      <c r="A2" s="3" t="s">
        <v>102</v>
      </c>
    </row>
    <row r="4" customFormat="false" ht="15" hidden="false" customHeight="true" outlineLevel="0" collapsed="false">
      <c r="A4" s="5"/>
      <c r="B4" s="5" t="s">
        <v>103</v>
      </c>
      <c r="C4" s="5" t="s">
        <v>104</v>
      </c>
      <c r="D4" s="5" t="s">
        <v>105</v>
      </c>
      <c r="E4" s="5" t="s">
        <v>106</v>
      </c>
      <c r="F4" s="5" t="s">
        <v>107</v>
      </c>
      <c r="G4" s="5" t="s">
        <v>108</v>
      </c>
      <c r="H4" s="5" t="s">
        <v>109</v>
      </c>
    </row>
    <row r="5" customFormat="false" ht="15" hidden="false" customHeight="true" outlineLevel="0" collapsed="false">
      <c r="A5" s="4" t="s">
        <v>110</v>
      </c>
    </row>
    <row r="6" customFormat="false" ht="15" hidden="false" customHeight="true" outlineLevel="0" collapsed="false">
      <c r="A6" s="6" t="s">
        <v>7</v>
      </c>
      <c r="B6" s="24" t="n">
        <v>5</v>
      </c>
      <c r="C6" s="24" t="n">
        <v>8</v>
      </c>
      <c r="D6" s="24" t="n">
        <v>10</v>
      </c>
      <c r="E6" s="24" t="n">
        <v>12</v>
      </c>
      <c r="F6" s="24" t="n">
        <v>15</v>
      </c>
      <c r="G6" s="24" t="n">
        <v>18</v>
      </c>
      <c r="H6" s="25" t="n">
        <f aca="false">SUM(B6:G6)</f>
        <v>68</v>
      </c>
    </row>
    <row r="7" customFormat="false" ht="15" hidden="false" customHeight="true" outlineLevel="0" collapsed="false">
      <c r="A7" s="6" t="s">
        <v>8</v>
      </c>
      <c r="B7" s="24" t="n">
        <v>12</v>
      </c>
      <c r="C7" s="24" t="n">
        <v>16</v>
      </c>
      <c r="D7" s="24" t="n">
        <v>22</v>
      </c>
      <c r="E7" s="24" t="n">
        <v>28</v>
      </c>
      <c r="F7" s="24" t="n">
        <v>32</v>
      </c>
      <c r="G7" s="24" t="n">
        <v>38</v>
      </c>
      <c r="H7" s="25" t="n">
        <f aca="false">SUM(B7:G7)</f>
        <v>148</v>
      </c>
    </row>
    <row r="8" customFormat="false" ht="15" hidden="false" customHeight="true" outlineLevel="0" collapsed="false">
      <c r="A8" s="6" t="s">
        <v>9</v>
      </c>
      <c r="B8" s="24" t="n">
        <v>0</v>
      </c>
      <c r="C8" s="24" t="n">
        <v>3</v>
      </c>
      <c r="D8" s="24" t="n">
        <v>5</v>
      </c>
      <c r="E8" s="24" t="n">
        <v>8</v>
      </c>
      <c r="F8" s="24" t="n">
        <v>10</v>
      </c>
      <c r="G8" s="24" t="n">
        <v>12</v>
      </c>
      <c r="H8" s="25" t="n">
        <f aca="false">SUM(B8:G8)</f>
        <v>38</v>
      </c>
    </row>
    <row r="9" customFormat="false" ht="15" hidden="false" customHeight="true" outlineLevel="0" collapsed="false">
      <c r="A9" s="15" t="s">
        <v>111</v>
      </c>
      <c r="B9" s="26" t="n">
        <f aca="false">B6+B7+B8</f>
        <v>17</v>
      </c>
      <c r="C9" s="26" t="n">
        <f aca="false">C6+C7+C8</f>
        <v>27</v>
      </c>
      <c r="D9" s="26" t="n">
        <f aca="false">D6+D7+D8</f>
        <v>37</v>
      </c>
      <c r="E9" s="26" t="n">
        <f aca="false">E6+E7+E8</f>
        <v>48</v>
      </c>
      <c r="F9" s="26" t="n">
        <f aca="false">F6+F7+F8</f>
        <v>57</v>
      </c>
      <c r="G9" s="26" t="n">
        <f aca="false">G6+G7+G8</f>
        <v>68</v>
      </c>
      <c r="H9" s="26" t="n">
        <f aca="false">H6+H7+H8</f>
        <v>254</v>
      </c>
    </row>
    <row r="10" customFormat="false" ht="15" hidden="false" customHeight="true" outlineLevel="0" collapsed="false">
      <c r="A10" s="6" t="s">
        <v>112</v>
      </c>
      <c r="B10" s="25" t="n">
        <f aca="false">B9</f>
        <v>17</v>
      </c>
      <c r="C10" s="25" t="n">
        <f aca="false">B10+C9</f>
        <v>44</v>
      </c>
      <c r="D10" s="25" t="n">
        <f aca="false">C10+D9</f>
        <v>81</v>
      </c>
      <c r="E10" s="25" t="n">
        <f aca="false">D10+E9</f>
        <v>129</v>
      </c>
      <c r="F10" s="25" t="n">
        <f aca="false">E10+F9</f>
        <v>186</v>
      </c>
      <c r="G10" s="25" t="n">
        <f aca="false">F10+G9</f>
        <v>254</v>
      </c>
      <c r="H10" s="25" t="n">
        <f aca="false">G10</f>
        <v>254</v>
      </c>
    </row>
    <row r="12" customFormat="false" ht="15" hidden="false" customHeight="true" outlineLevel="0" collapsed="false">
      <c r="A12" s="4" t="s">
        <v>113</v>
      </c>
    </row>
    <row r="13" customFormat="false" ht="15" hidden="false" customHeight="true" outlineLevel="0" collapsed="false">
      <c r="A13" s="6" t="s">
        <v>114</v>
      </c>
      <c r="B13" s="27" t="n">
        <f aca="false">B6*Assumptions!C6</f>
        <v>445</v>
      </c>
      <c r="C13" s="27" t="n">
        <f aca="false">C6*Assumptions!C6</f>
        <v>712</v>
      </c>
      <c r="D13" s="27" t="n">
        <f aca="false">D6*Assumptions!C6</f>
        <v>890</v>
      </c>
      <c r="E13" s="27" t="n">
        <f aca="false">E6*Assumptions!C6</f>
        <v>1068</v>
      </c>
      <c r="F13" s="27" t="n">
        <f aca="false">F6*Assumptions!C6</f>
        <v>1335</v>
      </c>
      <c r="G13" s="27" t="n">
        <f aca="false">G6*Assumptions!C6</f>
        <v>1602</v>
      </c>
      <c r="H13" s="28" t="n">
        <f aca="false">SUM(B13:G13)</f>
        <v>6052</v>
      </c>
    </row>
    <row r="14" customFormat="false" ht="15" hidden="false" customHeight="true" outlineLevel="0" collapsed="false">
      <c r="A14" s="6" t="s">
        <v>115</v>
      </c>
      <c r="B14" s="27" t="n">
        <f aca="false">B7*Assumptions!C7</f>
        <v>1188</v>
      </c>
      <c r="C14" s="27" t="n">
        <f aca="false">C7*Assumptions!C7</f>
        <v>1584</v>
      </c>
      <c r="D14" s="27" t="n">
        <f aca="false">D7*Assumptions!C7</f>
        <v>2178</v>
      </c>
      <c r="E14" s="27" t="n">
        <f aca="false">E7*Assumptions!C7</f>
        <v>2772</v>
      </c>
      <c r="F14" s="27" t="n">
        <f aca="false">F7*Assumptions!C7</f>
        <v>3168</v>
      </c>
      <c r="G14" s="27" t="n">
        <f aca="false">G7*Assumptions!C7</f>
        <v>3762</v>
      </c>
      <c r="H14" s="28" t="n">
        <f aca="false">SUM(B14:G14)</f>
        <v>14652</v>
      </c>
    </row>
    <row r="15" customFormat="false" ht="15" hidden="false" customHeight="true" outlineLevel="0" collapsed="false">
      <c r="A15" s="6" t="s">
        <v>116</v>
      </c>
      <c r="B15" s="27" t="n">
        <f aca="false">B8*Assumptions!C8</f>
        <v>0</v>
      </c>
      <c r="C15" s="27" t="n">
        <f aca="false">C8*Assumptions!C8</f>
        <v>447</v>
      </c>
      <c r="D15" s="27" t="n">
        <f aca="false">D8*Assumptions!C8</f>
        <v>745</v>
      </c>
      <c r="E15" s="27" t="n">
        <f aca="false">E8*Assumptions!C8</f>
        <v>1192</v>
      </c>
      <c r="F15" s="27" t="n">
        <f aca="false">F8*Assumptions!C8</f>
        <v>1490</v>
      </c>
      <c r="G15" s="27" t="n">
        <f aca="false">G8*Assumptions!C8</f>
        <v>1788</v>
      </c>
      <c r="H15" s="28" t="n">
        <f aca="false">SUM(B15:G15)</f>
        <v>5662</v>
      </c>
    </row>
    <row r="16" customFormat="false" ht="15" hidden="false" customHeight="true" outlineLevel="0" collapsed="false">
      <c r="A16" s="15" t="s">
        <v>117</v>
      </c>
      <c r="B16" s="29" t="n">
        <f aca="false">B13+B14+B15</f>
        <v>1633</v>
      </c>
      <c r="C16" s="29" t="n">
        <f aca="false">C13+C14+C15</f>
        <v>2743</v>
      </c>
      <c r="D16" s="29" t="n">
        <f aca="false">D13+D14+D15</f>
        <v>3813</v>
      </c>
      <c r="E16" s="29" t="n">
        <f aca="false">E13+E14+E15</f>
        <v>5032</v>
      </c>
      <c r="F16" s="29" t="n">
        <f aca="false">F13+F14+F15</f>
        <v>5993</v>
      </c>
      <c r="G16" s="29" t="n">
        <f aca="false">G13+G14+G15</f>
        <v>7152</v>
      </c>
      <c r="H16" s="29" t="n">
        <f aca="false">H13+H14+H15</f>
        <v>26366</v>
      </c>
    </row>
    <row r="18" customFormat="false" ht="15" hidden="false" customHeight="true" outlineLevel="0" collapsed="false">
      <c r="A18" s="4" t="s">
        <v>118</v>
      </c>
    </row>
    <row r="19" customFormat="false" ht="15" hidden="false" customHeight="true" outlineLevel="0" collapsed="false">
      <c r="A19" s="6" t="s">
        <v>119</v>
      </c>
      <c r="B19" s="27" t="n">
        <f aca="false">B6*Assumptions!B6</f>
        <v>292.5</v>
      </c>
      <c r="C19" s="27" t="n">
        <f aca="false">C6*Assumptions!B6</f>
        <v>468</v>
      </c>
      <c r="D19" s="27" t="n">
        <f aca="false">D6*Assumptions!B6</f>
        <v>585</v>
      </c>
      <c r="E19" s="27" t="n">
        <f aca="false">E6*Assumptions!B6</f>
        <v>702</v>
      </c>
      <c r="F19" s="27" t="n">
        <f aca="false">F6*Assumptions!B6</f>
        <v>877.5</v>
      </c>
      <c r="G19" s="27" t="n">
        <f aca="false">G6*Assumptions!B6</f>
        <v>1053</v>
      </c>
      <c r="H19" s="28" t="n">
        <f aca="false">SUM(B19:G19)</f>
        <v>3978</v>
      </c>
    </row>
    <row r="20" customFormat="false" ht="15" hidden="false" customHeight="true" outlineLevel="0" collapsed="false">
      <c r="A20" s="6" t="s">
        <v>120</v>
      </c>
      <c r="B20" s="27" t="n">
        <f aca="false">B7*Assumptions!B7</f>
        <v>756</v>
      </c>
      <c r="C20" s="27" t="n">
        <f aca="false">C7*Assumptions!B7</f>
        <v>1008</v>
      </c>
      <c r="D20" s="27" t="n">
        <f aca="false">D7*Assumptions!B7</f>
        <v>1386</v>
      </c>
      <c r="E20" s="27" t="n">
        <f aca="false">E7*Assumptions!B7</f>
        <v>1764</v>
      </c>
      <c r="F20" s="27" t="n">
        <f aca="false">F7*Assumptions!B7</f>
        <v>2016</v>
      </c>
      <c r="G20" s="27" t="n">
        <f aca="false">G7*Assumptions!B7</f>
        <v>2394</v>
      </c>
      <c r="H20" s="28" t="n">
        <f aca="false">SUM(B20:G20)</f>
        <v>9324</v>
      </c>
    </row>
    <row r="21" customFormat="false" ht="15" hidden="false" customHeight="true" outlineLevel="0" collapsed="false">
      <c r="A21" s="6" t="s">
        <v>121</v>
      </c>
      <c r="B21" s="27" t="n">
        <f aca="false">B8*Assumptions!B8</f>
        <v>0</v>
      </c>
      <c r="C21" s="27" t="n">
        <f aca="false">C8*Assumptions!B8</f>
        <v>294</v>
      </c>
      <c r="D21" s="27" t="n">
        <f aca="false">D8*Assumptions!B8</f>
        <v>490</v>
      </c>
      <c r="E21" s="27" t="n">
        <f aca="false">E8*Assumptions!B8</f>
        <v>784</v>
      </c>
      <c r="F21" s="27" t="n">
        <f aca="false">F8*Assumptions!B8</f>
        <v>980</v>
      </c>
      <c r="G21" s="27" t="n">
        <f aca="false">G8*Assumptions!B8</f>
        <v>1176</v>
      </c>
      <c r="H21" s="28" t="n">
        <f aca="false">SUM(B21:G21)</f>
        <v>3724</v>
      </c>
    </row>
    <row r="22" customFormat="false" ht="15" hidden="false" customHeight="true" outlineLevel="0" collapsed="false">
      <c r="A22" s="15" t="s">
        <v>122</v>
      </c>
      <c r="B22" s="29" t="n">
        <f aca="false">B19+B20+B21</f>
        <v>1048.5</v>
      </c>
      <c r="C22" s="29" t="n">
        <f aca="false">C19+C20+C21</f>
        <v>1770</v>
      </c>
      <c r="D22" s="29" t="n">
        <f aca="false">D19+D20+D21</f>
        <v>2461</v>
      </c>
      <c r="E22" s="29" t="n">
        <f aca="false">E19+E20+E21</f>
        <v>3250</v>
      </c>
      <c r="F22" s="29" t="n">
        <f aca="false">F19+F20+F21</f>
        <v>3873.5</v>
      </c>
      <c r="G22" s="29" t="n">
        <f aca="false">G19+G20+G21</f>
        <v>4623</v>
      </c>
      <c r="H22" s="29" t="n">
        <f aca="false">H19+H20+H21</f>
        <v>17026</v>
      </c>
    </row>
    <row r="24" customFormat="false" ht="15" hidden="false" customHeight="true" outlineLevel="0" collapsed="false">
      <c r="A24" s="30" t="s">
        <v>123</v>
      </c>
      <c r="B24" s="31" t="n">
        <f aca="false">B16-B22</f>
        <v>584.5</v>
      </c>
      <c r="C24" s="31" t="n">
        <f aca="false">C16-C22</f>
        <v>973</v>
      </c>
      <c r="D24" s="31" t="n">
        <f aca="false">D16-D22</f>
        <v>1352</v>
      </c>
      <c r="E24" s="31" t="n">
        <f aca="false">E16-E22</f>
        <v>1782</v>
      </c>
      <c r="F24" s="31" t="n">
        <f aca="false">F16-F22</f>
        <v>2119.5</v>
      </c>
      <c r="G24" s="31" t="n">
        <f aca="false">G16-G22</f>
        <v>2529</v>
      </c>
      <c r="H24" s="31" t="n">
        <f aca="false">H16-H22</f>
        <v>9340</v>
      </c>
    </row>
    <row r="25" customFormat="false" ht="15" hidden="false" customHeight="true" outlineLevel="0" collapsed="false">
      <c r="A25" s="6" t="s">
        <v>124</v>
      </c>
      <c r="B25" s="10" t="n">
        <f aca="false">IF(B16=0,0,B24/B16)</f>
        <v>0.35793018983466</v>
      </c>
      <c r="C25" s="10" t="n">
        <f aca="false">IF(C16=0,0,C24/C16)</f>
        <v>0.354721108275611</v>
      </c>
      <c r="D25" s="10" t="n">
        <f aca="false">IF(D16=0,0,D24/D16)</f>
        <v>0.354576448990296</v>
      </c>
      <c r="E25" s="10" t="n">
        <f aca="false">IF(E16=0,0,E24/E16)</f>
        <v>0.354133545310016</v>
      </c>
      <c r="F25" s="10" t="n">
        <f aca="false">IF(F16=0,0,F24/F16)</f>
        <v>0.353662606374103</v>
      </c>
      <c r="G25" s="10" t="n">
        <f aca="false">IF(G16=0,0,G24/G16)</f>
        <v>0.353607382550336</v>
      </c>
      <c r="H25" s="10" t="n">
        <f aca="false">IF(H16=0,0,H24/H16)</f>
        <v>0.354244102252902</v>
      </c>
    </row>
    <row r="27" customFormat="false" ht="15" hidden="false" customHeight="true" outlineLevel="0" collapsed="false">
      <c r="A27" s="4" t="s">
        <v>125</v>
      </c>
    </row>
    <row r="28" customFormat="false" ht="15" hidden="false" customHeight="true" outlineLevel="0" collapsed="false">
      <c r="A28" s="6" t="s">
        <v>126</v>
      </c>
      <c r="B28" s="32" t="n">
        <f aca="false">ROUND((B7+B8)*Assumptions!B21,0)</f>
        <v>1</v>
      </c>
      <c r="C28" s="32" t="n">
        <f aca="false">ROUND((C7+C8)*Assumptions!B21,0)</f>
        <v>2</v>
      </c>
      <c r="D28" s="32" t="n">
        <f aca="false">ROUND((D7+D8)*Assumptions!B21,0)</f>
        <v>3</v>
      </c>
      <c r="E28" s="32" t="n">
        <f aca="false">ROUND((E7+E8)*Assumptions!B21,0)</f>
        <v>4</v>
      </c>
      <c r="F28" s="32" t="n">
        <f aca="false">ROUND((F7+F8)*Assumptions!B21,0)</f>
        <v>5</v>
      </c>
      <c r="G28" s="32" t="n">
        <f aca="false">ROUND((G7+G8)*Assumptions!B21,0)</f>
        <v>6</v>
      </c>
      <c r="H28" s="25" t="n">
        <f aca="false">SUM(B28:G28)</f>
        <v>21</v>
      </c>
    </row>
    <row r="29" customFormat="false" ht="15" hidden="false" customHeight="true" outlineLevel="0" collapsed="false">
      <c r="A29" s="6" t="s">
        <v>127</v>
      </c>
      <c r="B29" s="6" t="n">
        <v>0</v>
      </c>
      <c r="C29" s="25" t="n">
        <f aca="false">ROUND(B30*Assumptions!B22,0)</f>
        <v>0</v>
      </c>
      <c r="D29" s="25" t="n">
        <f aca="false">ROUND(C30*Assumptions!B22,0)</f>
        <v>0</v>
      </c>
      <c r="E29" s="25" t="n">
        <f aca="false">ROUND(D30*Assumptions!B22,0)</f>
        <v>0</v>
      </c>
      <c r="F29" s="25" t="n">
        <f aca="false">ROUND(E30*Assumptions!B22,0)</f>
        <v>0</v>
      </c>
      <c r="G29" s="25" t="n">
        <f aca="false">ROUND(F30*Assumptions!B22,0)</f>
        <v>0</v>
      </c>
      <c r="H29" s="25" t="n">
        <f aca="false">SUM(B29:G29)</f>
        <v>0</v>
      </c>
    </row>
    <row r="30" customFormat="false" ht="15" hidden="false" customHeight="true" outlineLevel="0" collapsed="false">
      <c r="A30" s="15" t="s">
        <v>128</v>
      </c>
      <c r="B30" s="26" t="n">
        <f aca="false">B28-B29</f>
        <v>1</v>
      </c>
      <c r="C30" s="26" t="n">
        <f aca="false">B30+C28-C29</f>
        <v>3</v>
      </c>
      <c r="D30" s="26" t="n">
        <f aca="false">C30+D28-D29</f>
        <v>6</v>
      </c>
      <c r="E30" s="26" t="n">
        <f aca="false">D30+E28-E29</f>
        <v>10</v>
      </c>
      <c r="F30" s="26" t="n">
        <f aca="false">E30+F28-F29</f>
        <v>15</v>
      </c>
      <c r="G30" s="26" t="n">
        <f aca="false">F30+G28-G29</f>
        <v>21</v>
      </c>
      <c r="H30" s="26" t="n">
        <f aca="false">G30</f>
        <v>21</v>
      </c>
    </row>
    <row r="32" customFormat="false" ht="15" hidden="false" customHeight="true" outlineLevel="0" collapsed="false">
      <c r="A32" s="4" t="s">
        <v>129</v>
      </c>
    </row>
    <row r="33" customFormat="false" ht="15" hidden="false" customHeight="true" outlineLevel="0" collapsed="false">
      <c r="A33" s="6" t="s">
        <v>130</v>
      </c>
      <c r="B33" s="27" t="n">
        <f aca="false">B30*Assumptions!C12</f>
        <v>34.95</v>
      </c>
      <c r="C33" s="27" t="n">
        <f aca="false">C30*Assumptions!C12</f>
        <v>104.85</v>
      </c>
      <c r="D33" s="27" t="n">
        <f aca="false">D30*Assumptions!C12</f>
        <v>209.7</v>
      </c>
      <c r="E33" s="27" t="n">
        <f aca="false">E30*Assumptions!C12</f>
        <v>349.5</v>
      </c>
      <c r="F33" s="27" t="n">
        <f aca="false">F30*Assumptions!C12</f>
        <v>524.25</v>
      </c>
      <c r="G33" s="27" t="n">
        <f aca="false">G30*Assumptions!C12</f>
        <v>733.95</v>
      </c>
      <c r="H33" s="28" t="n">
        <f aca="false">SUM(B33:G33)</f>
        <v>1957.2</v>
      </c>
    </row>
    <row r="34" customFormat="false" ht="15" hidden="false" customHeight="true" outlineLevel="0" collapsed="false">
      <c r="A34" s="6" t="s">
        <v>131</v>
      </c>
      <c r="B34" s="27" t="n">
        <f aca="false">B30*Assumptions!B12</f>
        <v>15</v>
      </c>
      <c r="C34" s="27" t="n">
        <f aca="false">C30*Assumptions!B12</f>
        <v>45</v>
      </c>
      <c r="D34" s="27" t="n">
        <f aca="false">D30*Assumptions!B12</f>
        <v>90</v>
      </c>
      <c r="E34" s="27" t="n">
        <f aca="false">E30*Assumptions!B12</f>
        <v>150</v>
      </c>
      <c r="F34" s="27" t="n">
        <f aca="false">F30*Assumptions!B12</f>
        <v>225</v>
      </c>
      <c r="G34" s="27" t="n">
        <f aca="false">G30*Assumptions!B12</f>
        <v>315</v>
      </c>
      <c r="H34" s="28" t="n">
        <f aca="false">SUM(B34:G34)</f>
        <v>840</v>
      </c>
    </row>
    <row r="35" customFormat="false" ht="15" hidden="false" customHeight="true" outlineLevel="0" collapsed="false">
      <c r="A35" s="15" t="s">
        <v>132</v>
      </c>
      <c r="B35" s="29" t="n">
        <f aca="false">B33-B34</f>
        <v>19.95</v>
      </c>
      <c r="C35" s="29" t="n">
        <f aca="false">C33-C34</f>
        <v>59.85</v>
      </c>
      <c r="D35" s="29" t="n">
        <f aca="false">D33-D34</f>
        <v>119.7</v>
      </c>
      <c r="E35" s="29" t="n">
        <f aca="false">E33-E34</f>
        <v>199.5</v>
      </c>
      <c r="F35" s="29" t="n">
        <f aca="false">F33-F34</f>
        <v>299.25</v>
      </c>
      <c r="G35" s="29" t="n">
        <f aca="false">G33-G34</f>
        <v>418.95</v>
      </c>
      <c r="H35" s="29" t="n">
        <f aca="false">H33-H34</f>
        <v>1117.2</v>
      </c>
    </row>
    <row r="37" customFormat="false" ht="15" hidden="false" customHeight="true" outlineLevel="0" collapsed="false">
      <c r="A37" s="4" t="s">
        <v>133</v>
      </c>
    </row>
    <row r="38" customFormat="false" ht="15" hidden="false" customHeight="true" outlineLevel="0" collapsed="false">
      <c r="A38" s="6" t="s">
        <v>134</v>
      </c>
      <c r="B38" s="25" t="n">
        <f aca="false">B6+B8</f>
        <v>5</v>
      </c>
      <c r="C38" s="25" t="n">
        <f aca="false">C6+C8</f>
        <v>11</v>
      </c>
      <c r="D38" s="25" t="n">
        <f aca="false">D6+D8</f>
        <v>15</v>
      </c>
      <c r="E38" s="25" t="n">
        <f aca="false">E6+E8</f>
        <v>20</v>
      </c>
      <c r="F38" s="25" t="n">
        <f aca="false">F6+F8</f>
        <v>25</v>
      </c>
      <c r="G38" s="25" t="n">
        <f aca="false">G6+G8</f>
        <v>30</v>
      </c>
      <c r="H38" s="25" t="n">
        <f aca="false">SUM(B38:G38)</f>
        <v>106</v>
      </c>
    </row>
    <row r="39" customFormat="false" ht="15" hidden="false" customHeight="true" outlineLevel="0" collapsed="false">
      <c r="A39" s="6" t="s">
        <v>135</v>
      </c>
      <c r="B39" s="32" t="n">
        <f aca="false">ROUND(B38*Assumptions!B24,0)</f>
        <v>2</v>
      </c>
      <c r="C39" s="32" t="n">
        <f aca="false">ROUND(C38*Assumptions!B24,0)</f>
        <v>4</v>
      </c>
      <c r="D39" s="32" t="n">
        <f aca="false">ROUND(D38*Assumptions!B24,0)</f>
        <v>5</v>
      </c>
      <c r="E39" s="32" t="n">
        <f aca="false">ROUND(E38*Assumptions!B24,0)</f>
        <v>7</v>
      </c>
      <c r="F39" s="32" t="n">
        <f aca="false">ROUND(F38*Assumptions!B24,0)</f>
        <v>9</v>
      </c>
      <c r="G39" s="32" t="n">
        <f aca="false">ROUND(G38*Assumptions!B24,0)</f>
        <v>11</v>
      </c>
      <c r="H39" s="25" t="n">
        <f aca="false">SUM(B39:G39)</f>
        <v>38</v>
      </c>
    </row>
    <row r="40" customFormat="false" ht="15" hidden="false" customHeight="true" outlineLevel="0" collapsed="false">
      <c r="A40" s="6" t="s">
        <v>136</v>
      </c>
      <c r="B40" s="32" t="n">
        <f aca="false">ROUND(B39*Assumptions!B25,0)</f>
        <v>1</v>
      </c>
      <c r="C40" s="32" t="n">
        <f aca="false">ROUND(C39*Assumptions!B25,0)</f>
        <v>2</v>
      </c>
      <c r="D40" s="32" t="n">
        <f aca="false">ROUND(D39*Assumptions!B25,0)</f>
        <v>3</v>
      </c>
      <c r="E40" s="32" t="n">
        <f aca="false">ROUND(E39*Assumptions!B25,0)</f>
        <v>4</v>
      </c>
      <c r="F40" s="32" t="n">
        <f aca="false">ROUND(F39*Assumptions!B25,0)</f>
        <v>5</v>
      </c>
      <c r="G40" s="32" t="n">
        <f aca="false">ROUND(G39*Assumptions!B25,0)</f>
        <v>6</v>
      </c>
      <c r="H40" s="25" t="n">
        <f aca="false">SUM(B40:G40)</f>
        <v>21</v>
      </c>
    </row>
    <row r="41" customFormat="false" ht="15" hidden="false" customHeight="true" outlineLevel="0" collapsed="false">
      <c r="A41" s="15" t="s">
        <v>137</v>
      </c>
      <c r="B41" s="27" t="n">
        <f aca="false">B40*Assumptions!B23</f>
        <v>75</v>
      </c>
      <c r="C41" s="27" t="n">
        <f aca="false">C40*Assumptions!B23</f>
        <v>150</v>
      </c>
      <c r="D41" s="27" t="n">
        <f aca="false">D40*Assumptions!B23</f>
        <v>225</v>
      </c>
      <c r="E41" s="27" t="n">
        <f aca="false">E40*Assumptions!B23</f>
        <v>300</v>
      </c>
      <c r="F41" s="27" t="n">
        <f aca="false">F40*Assumptions!B23</f>
        <v>375</v>
      </c>
      <c r="G41" s="27" t="n">
        <f aca="false">G40*Assumptions!B23</f>
        <v>450</v>
      </c>
      <c r="H41" s="28" t="n">
        <f aca="false">SUM(B41:G41)</f>
        <v>1575</v>
      </c>
    </row>
    <row r="43" customFormat="false" ht="15" hidden="false" customHeight="true" outlineLevel="0" collapsed="false">
      <c r="A43" s="4" t="s">
        <v>138</v>
      </c>
    </row>
    <row r="44" customFormat="false" ht="15" hidden="false" customHeight="true" outlineLevel="0" collapsed="false">
      <c r="A44" s="6" t="s">
        <v>139</v>
      </c>
      <c r="B44" s="28" t="n">
        <f aca="false">B16</f>
        <v>1633</v>
      </c>
      <c r="C44" s="28" t="n">
        <f aca="false">C16</f>
        <v>2743</v>
      </c>
      <c r="D44" s="28" t="n">
        <f aca="false">D16</f>
        <v>3813</v>
      </c>
      <c r="E44" s="28" t="n">
        <f aca="false">E16</f>
        <v>5032</v>
      </c>
      <c r="F44" s="28" t="n">
        <f aca="false">F16</f>
        <v>5993</v>
      </c>
      <c r="G44" s="28" t="n">
        <f aca="false">G16</f>
        <v>7152</v>
      </c>
      <c r="H44" s="28" t="n">
        <f aca="false">H16</f>
        <v>26366</v>
      </c>
    </row>
    <row r="45" customFormat="false" ht="15" hidden="false" customHeight="true" outlineLevel="0" collapsed="false">
      <c r="A45" s="6" t="s">
        <v>130</v>
      </c>
      <c r="B45" s="28" t="n">
        <f aca="false">B33</f>
        <v>34.95</v>
      </c>
      <c r="C45" s="28" t="n">
        <f aca="false">C33</f>
        <v>104.85</v>
      </c>
      <c r="D45" s="28" t="n">
        <f aca="false">D33</f>
        <v>209.7</v>
      </c>
      <c r="E45" s="28" t="n">
        <f aca="false">E33</f>
        <v>349.5</v>
      </c>
      <c r="F45" s="28" t="n">
        <f aca="false">F33</f>
        <v>524.25</v>
      </c>
      <c r="G45" s="28" t="n">
        <f aca="false">G33</f>
        <v>733.95</v>
      </c>
      <c r="H45" s="28" t="n">
        <f aca="false">H33</f>
        <v>1957.2</v>
      </c>
    </row>
    <row r="46" customFormat="false" ht="15" hidden="false" customHeight="true" outlineLevel="0" collapsed="false">
      <c r="A46" s="6" t="s">
        <v>137</v>
      </c>
      <c r="B46" s="28" t="n">
        <f aca="false">B41</f>
        <v>75</v>
      </c>
      <c r="C46" s="28" t="n">
        <f aca="false">C41</f>
        <v>150</v>
      </c>
      <c r="D46" s="28" t="n">
        <f aca="false">D41</f>
        <v>225</v>
      </c>
      <c r="E46" s="28" t="n">
        <f aca="false">E41</f>
        <v>300</v>
      </c>
      <c r="F46" s="28" t="n">
        <f aca="false">F41</f>
        <v>375</v>
      </c>
      <c r="G46" s="28" t="n">
        <f aca="false">G41</f>
        <v>450</v>
      </c>
      <c r="H46" s="28" t="n">
        <f aca="false">H41</f>
        <v>1575</v>
      </c>
    </row>
    <row r="47" customFormat="false" ht="15" hidden="false" customHeight="true" outlineLevel="0" collapsed="false">
      <c r="A47" s="33" t="s">
        <v>140</v>
      </c>
      <c r="B47" s="16" t="n">
        <f aca="false">B44+B45+B46</f>
        <v>1742.95</v>
      </c>
      <c r="C47" s="16" t="n">
        <f aca="false">C44+C45+C46</f>
        <v>2997.85</v>
      </c>
      <c r="D47" s="16" t="n">
        <f aca="false">D44+D45+D46</f>
        <v>4247.7</v>
      </c>
      <c r="E47" s="16" t="n">
        <f aca="false">E44+E45+E46</f>
        <v>5681.5</v>
      </c>
      <c r="F47" s="16" t="n">
        <f aca="false">F44+F45+F46</f>
        <v>6892.25</v>
      </c>
      <c r="G47" s="16" t="n">
        <f aca="false">G44+G45+G46</f>
        <v>8335.95</v>
      </c>
      <c r="H47" s="16" t="n">
        <f aca="false">H44+H45+H46</f>
        <v>29898.2</v>
      </c>
    </row>
    <row r="49" customFormat="false" ht="15" hidden="false" customHeight="true" outlineLevel="0" collapsed="false">
      <c r="A49" s="4" t="s">
        <v>141</v>
      </c>
    </row>
    <row r="50" customFormat="false" ht="15" hidden="false" customHeight="true" outlineLevel="0" collapsed="false">
      <c r="A50" s="6" t="s">
        <v>142</v>
      </c>
      <c r="B50" s="28" t="n">
        <f aca="false">B22</f>
        <v>1048.5</v>
      </c>
      <c r="C50" s="28" t="n">
        <f aca="false">C22</f>
        <v>1770</v>
      </c>
      <c r="D50" s="28" t="n">
        <f aca="false">D22</f>
        <v>2461</v>
      </c>
      <c r="E50" s="28" t="n">
        <f aca="false">E22</f>
        <v>3250</v>
      </c>
      <c r="F50" s="28" t="n">
        <f aca="false">F22</f>
        <v>3873.5</v>
      </c>
      <c r="G50" s="28" t="n">
        <f aca="false">G22</f>
        <v>4623</v>
      </c>
      <c r="H50" s="28" t="n">
        <f aca="false">H22</f>
        <v>17026</v>
      </c>
    </row>
    <row r="51" customFormat="false" ht="15" hidden="false" customHeight="true" outlineLevel="0" collapsed="false">
      <c r="A51" s="6" t="s">
        <v>131</v>
      </c>
      <c r="B51" s="28" t="n">
        <f aca="false">B34</f>
        <v>15</v>
      </c>
      <c r="C51" s="28" t="n">
        <f aca="false">C34</f>
        <v>45</v>
      </c>
      <c r="D51" s="28" t="n">
        <f aca="false">D34</f>
        <v>90</v>
      </c>
      <c r="E51" s="28" t="n">
        <f aca="false">E34</f>
        <v>150</v>
      </c>
      <c r="F51" s="28" t="n">
        <f aca="false">F34</f>
        <v>225</v>
      </c>
      <c r="G51" s="28" t="n">
        <f aca="false">G34</f>
        <v>315</v>
      </c>
      <c r="H51" s="28" t="n">
        <f aca="false">H34</f>
        <v>840</v>
      </c>
    </row>
    <row r="52" customFormat="false" ht="15" hidden="false" customHeight="true" outlineLevel="0" collapsed="false">
      <c r="A52" s="15" t="s">
        <v>141</v>
      </c>
      <c r="B52" s="29" t="n">
        <f aca="false">B50+B51</f>
        <v>1063.5</v>
      </c>
      <c r="C52" s="29" t="n">
        <f aca="false">C50+C51</f>
        <v>1815</v>
      </c>
      <c r="D52" s="29" t="n">
        <f aca="false">D50+D51</f>
        <v>2551</v>
      </c>
      <c r="E52" s="29" t="n">
        <f aca="false">E50+E51</f>
        <v>3400</v>
      </c>
      <c r="F52" s="29" t="n">
        <f aca="false">F50+F51</f>
        <v>4098.5</v>
      </c>
      <c r="G52" s="29" t="n">
        <f aca="false">G50+G51</f>
        <v>4938</v>
      </c>
      <c r="H52" s="29" t="n">
        <f aca="false">H50+H51</f>
        <v>17866</v>
      </c>
    </row>
    <row r="54" customFormat="false" ht="15" hidden="false" customHeight="true" outlineLevel="0" collapsed="false">
      <c r="A54" s="30" t="s">
        <v>143</v>
      </c>
      <c r="B54" s="31" t="n">
        <f aca="false">B47-B52</f>
        <v>679.45</v>
      </c>
      <c r="C54" s="31" t="n">
        <f aca="false">C47-C52</f>
        <v>1182.85</v>
      </c>
      <c r="D54" s="31" t="n">
        <f aca="false">D47-D52</f>
        <v>1696.7</v>
      </c>
      <c r="E54" s="31" t="n">
        <f aca="false">E47-E52</f>
        <v>2281.5</v>
      </c>
      <c r="F54" s="31" t="n">
        <f aca="false">F47-F52</f>
        <v>2793.75</v>
      </c>
      <c r="G54" s="31" t="n">
        <f aca="false">G47-G52</f>
        <v>3397.95</v>
      </c>
      <c r="H54" s="31" t="n">
        <f aca="false">H47-H52</f>
        <v>12032.2</v>
      </c>
    </row>
    <row r="55" customFormat="false" ht="15" hidden="false" customHeight="true" outlineLevel="0" collapsed="false">
      <c r="A55" s="6" t="s">
        <v>6</v>
      </c>
      <c r="B55" s="10" t="n">
        <f aca="false">IF(B47=0,0,B54/B47)</f>
        <v>0.38982759115293</v>
      </c>
      <c r="C55" s="10" t="n">
        <f aca="false">IF(C47=0,0,C54/C47)</f>
        <v>0.394566105709092</v>
      </c>
      <c r="D55" s="10" t="n">
        <f aca="false">IF(D47=0,0,D54/D47)</f>
        <v>0.399439696777079</v>
      </c>
      <c r="E55" s="10" t="n">
        <f aca="false">IF(E47=0,0,E54/E47)</f>
        <v>0.401566487723313</v>
      </c>
      <c r="F55" s="10" t="n">
        <f aca="false">IF(F47=0,0,F54/F47)</f>
        <v>0.405346584932352</v>
      </c>
      <c r="G55" s="10" t="n">
        <f aca="false">IF(G47=0,0,G54/G47)</f>
        <v>0.407626005434294</v>
      </c>
      <c r="H55" s="10" t="n">
        <f aca="false">IF(H47=0,0,H54/H47)</f>
        <v>0.402438942812611</v>
      </c>
    </row>
    <row r="57" customFormat="false" ht="15" hidden="false" customHeight="true" outlineLevel="0" collapsed="false">
      <c r="A57" s="4" t="s">
        <v>144</v>
      </c>
    </row>
    <row r="58" customFormat="false" ht="15" hidden="false" customHeight="true" outlineLevel="0" collapsed="false">
      <c r="A58" s="6" t="s">
        <v>145</v>
      </c>
      <c r="B58" s="27" t="n">
        <f aca="false">Assumptions!B42</f>
        <v>593</v>
      </c>
      <c r="C58" s="27" t="n">
        <f aca="false">Assumptions!B42</f>
        <v>593</v>
      </c>
      <c r="D58" s="27" t="n">
        <f aca="false">Assumptions!B42</f>
        <v>593</v>
      </c>
      <c r="E58" s="27" t="n">
        <f aca="false">Assumptions!B42</f>
        <v>593</v>
      </c>
      <c r="F58" s="27" t="n">
        <f aca="false">Assumptions!B42</f>
        <v>593</v>
      </c>
      <c r="G58" s="27" t="n">
        <f aca="false">Assumptions!B42</f>
        <v>593</v>
      </c>
      <c r="H58" s="28" t="n">
        <f aca="false">SUM(B58:G58)</f>
        <v>3558</v>
      </c>
    </row>
    <row r="59" customFormat="false" ht="15" hidden="false" customHeight="true" outlineLevel="0" collapsed="false">
      <c r="A59" s="6" t="s">
        <v>146</v>
      </c>
      <c r="B59" s="27" t="n">
        <f aca="false">Assumptions!B26</f>
        <v>0</v>
      </c>
      <c r="C59" s="27" t="n">
        <f aca="false">Assumptions!B26</f>
        <v>0</v>
      </c>
      <c r="D59" s="27" t="n">
        <f aca="false">Assumptions!B26</f>
        <v>0</v>
      </c>
      <c r="E59" s="27" t="n">
        <f aca="false">Assumptions!B26</f>
        <v>0</v>
      </c>
      <c r="F59" s="27" t="n">
        <f aca="false">Assumptions!B26</f>
        <v>0</v>
      </c>
      <c r="G59" s="27" t="n">
        <f aca="false">Assumptions!B26</f>
        <v>0</v>
      </c>
      <c r="H59" s="28" t="n">
        <f aca="false">SUM(B59:G59)</f>
        <v>0</v>
      </c>
    </row>
    <row r="60" customFormat="false" ht="15" hidden="false" customHeight="true" outlineLevel="0" collapsed="false">
      <c r="A60" s="6" t="s">
        <v>147</v>
      </c>
      <c r="B60" s="27" t="n">
        <f aca="false">B47*Assumptions!B18</f>
        <v>43.57375</v>
      </c>
      <c r="C60" s="27" t="n">
        <f aca="false">C47*Assumptions!B18</f>
        <v>74.94625</v>
      </c>
      <c r="D60" s="27" t="n">
        <f aca="false">D47*Assumptions!B18</f>
        <v>106.1925</v>
      </c>
      <c r="E60" s="27" t="n">
        <f aca="false">E47*Assumptions!B18</f>
        <v>142.0375</v>
      </c>
      <c r="F60" s="27" t="n">
        <f aca="false">F47*Assumptions!B18</f>
        <v>172.30625</v>
      </c>
      <c r="G60" s="27" t="n">
        <f aca="false">G47*Assumptions!B18</f>
        <v>208.39875</v>
      </c>
      <c r="H60" s="28" t="n">
        <f aca="false">SUM(B60:G60)</f>
        <v>747.455</v>
      </c>
    </row>
    <row r="61" customFormat="false" ht="15" hidden="false" customHeight="true" outlineLevel="0" collapsed="false">
      <c r="A61" s="6" t="s">
        <v>148</v>
      </c>
      <c r="B61" s="27" t="n">
        <f aca="false">B16*Assumptions!B20*Assumptions!B19</f>
        <v>40.825</v>
      </c>
      <c r="C61" s="27" t="n">
        <f aca="false">C16*Assumptions!B20*Assumptions!B19</f>
        <v>68.575</v>
      </c>
      <c r="D61" s="27" t="n">
        <f aca="false">D16*Assumptions!B20*Assumptions!B19</f>
        <v>95.325</v>
      </c>
      <c r="E61" s="27" t="n">
        <f aca="false">E16*Assumptions!B20*Assumptions!B19</f>
        <v>125.8</v>
      </c>
      <c r="F61" s="27" t="n">
        <f aca="false">F16*Assumptions!B20*Assumptions!B19</f>
        <v>149.825</v>
      </c>
      <c r="G61" s="27" t="n">
        <f aca="false">G16*Assumptions!B20*Assumptions!B19</f>
        <v>178.8</v>
      </c>
      <c r="H61" s="28" t="n">
        <f aca="false">SUM(B61:G61)</f>
        <v>659.15</v>
      </c>
    </row>
    <row r="62" customFormat="false" ht="15" hidden="false" customHeight="true" outlineLevel="0" collapsed="false">
      <c r="A62" s="15" t="s">
        <v>149</v>
      </c>
      <c r="B62" s="29" t="n">
        <f aca="false">SUM(B58:B61)</f>
        <v>677.39875</v>
      </c>
      <c r="C62" s="29" t="n">
        <f aca="false">SUM(C58:C61)</f>
        <v>736.52125</v>
      </c>
      <c r="D62" s="29" t="n">
        <f aca="false">SUM(D58:D61)</f>
        <v>794.5175</v>
      </c>
      <c r="E62" s="29" t="n">
        <f aca="false">SUM(E58:E61)</f>
        <v>860.8375</v>
      </c>
      <c r="F62" s="29" t="n">
        <f aca="false">SUM(F58:F61)</f>
        <v>915.13125</v>
      </c>
      <c r="G62" s="29" t="n">
        <f aca="false">SUM(G58:G61)</f>
        <v>980.19875</v>
      </c>
      <c r="H62" s="29" t="n">
        <f aca="false">SUM(H58:H61)</f>
        <v>4964.605</v>
      </c>
    </row>
    <row r="64" customFormat="false" ht="15" hidden="false" customHeight="true" outlineLevel="0" collapsed="false">
      <c r="A64" s="30" t="s">
        <v>150</v>
      </c>
      <c r="B64" s="31" t="n">
        <f aca="false">B54-B62</f>
        <v>2.05124999999998</v>
      </c>
      <c r="C64" s="31" t="n">
        <f aca="false">C54-C62</f>
        <v>446.32875</v>
      </c>
      <c r="D64" s="31" t="n">
        <f aca="false">D54-D62</f>
        <v>902.1825</v>
      </c>
      <c r="E64" s="31" t="n">
        <f aca="false">E54-E62</f>
        <v>1420.6625</v>
      </c>
      <c r="F64" s="31" t="n">
        <f aca="false">F54-F62</f>
        <v>1878.61875</v>
      </c>
      <c r="G64" s="31" t="n">
        <f aca="false">G54-G62</f>
        <v>2417.75125</v>
      </c>
      <c r="H64" s="31" t="n">
        <f aca="false">H54-H62</f>
        <v>7067.595</v>
      </c>
    </row>
    <row r="65" customFormat="false" ht="15" hidden="false" customHeight="true" outlineLevel="0" collapsed="false">
      <c r="A65" s="6" t="s">
        <v>151</v>
      </c>
      <c r="B65" s="10" t="n">
        <f aca="false">IF(B47=0,0,B64/B47)</f>
        <v>0.00117688401847442</v>
      </c>
      <c r="C65" s="10" t="n">
        <f aca="false">IF(C47=0,0,C64/C47)</f>
        <v>0.148882949447104</v>
      </c>
      <c r="D65" s="10" t="n">
        <f aca="false">IF(D47=0,0,D64/D47)</f>
        <v>0.212393177484286</v>
      </c>
      <c r="E65" s="10" t="n">
        <f aca="false">IF(E47=0,0,E64/E47)</f>
        <v>0.250050602833759</v>
      </c>
      <c r="F65" s="10" t="n">
        <f aca="false">IF(F47=0,0,F64/F47)</f>
        <v>0.272569734121658</v>
      </c>
      <c r="G65" s="10" t="n">
        <f aca="false">IF(G47=0,0,G64/G47)</f>
        <v>0.290039077729593</v>
      </c>
      <c r="H65" s="10" t="n">
        <f aca="false">IF(H47=0,0,H64/H47)</f>
        <v>0.236388645470296</v>
      </c>
    </row>
    <row r="67" customFormat="false" ht="15" hidden="false" customHeight="true" outlineLevel="0" collapsed="false">
      <c r="A67" s="4" t="s">
        <v>152</v>
      </c>
    </row>
    <row r="68" customFormat="false" ht="15" hidden="false" customHeight="true" outlineLevel="0" collapsed="false">
      <c r="A68" s="6" t="s">
        <v>153</v>
      </c>
      <c r="B68" s="27" t="n">
        <v>0</v>
      </c>
      <c r="C68" s="6"/>
      <c r="D68" s="6"/>
      <c r="E68" s="6"/>
      <c r="F68" s="6"/>
      <c r="G68" s="6"/>
      <c r="H68" s="6"/>
    </row>
    <row r="69" customFormat="false" ht="15" hidden="false" customHeight="true" outlineLevel="0" collapsed="false">
      <c r="A69" s="34" t="s">
        <v>154</v>
      </c>
      <c r="B69" s="6"/>
      <c r="C69" s="35" t="n">
        <v>0</v>
      </c>
      <c r="D69" s="6"/>
      <c r="E69" s="6"/>
      <c r="F69" s="6"/>
      <c r="G69" s="6"/>
      <c r="H69" s="6"/>
    </row>
    <row r="70" customFormat="false" ht="15" hidden="false" customHeight="true" outlineLevel="0" collapsed="false">
      <c r="A70" s="15" t="s">
        <v>155</v>
      </c>
      <c r="B70" s="29" t="n">
        <f aca="false">B68+B64</f>
        <v>2.05124999999998</v>
      </c>
      <c r="C70" s="29" t="n">
        <f aca="false">B70+C64+C69</f>
        <v>448.38</v>
      </c>
      <c r="D70" s="29" t="n">
        <f aca="false">C70+D64</f>
        <v>1350.5625</v>
      </c>
      <c r="E70" s="29" t="n">
        <f aca="false">D70+E64</f>
        <v>2771.225</v>
      </c>
      <c r="F70" s="29" t="n">
        <f aca="false">E70+F64</f>
        <v>4649.84375</v>
      </c>
      <c r="G70" s="29" t="n">
        <f aca="false">F70+G64</f>
        <v>7067.595</v>
      </c>
      <c r="H70" s="29" t="n">
        <f aca="false">G70</f>
        <v>7067.595</v>
      </c>
    </row>
    <row r="72" customFormat="false" ht="15" hidden="false" customHeight="true" outlineLevel="0" collapsed="false">
      <c r="A72" s="4" t="s">
        <v>156</v>
      </c>
    </row>
    <row r="73" customFormat="false" ht="15" hidden="false" customHeight="true" outlineLevel="0" collapsed="false">
      <c r="A73" s="6" t="s">
        <v>157</v>
      </c>
      <c r="B73" s="9" t="n">
        <f aca="false">IF(B9=0,0,B16/B9)</f>
        <v>96.0588235294118</v>
      </c>
      <c r="C73" s="9" t="n">
        <f aca="false">IF(C9=0,0,C16/C9)</f>
        <v>101.592592592593</v>
      </c>
      <c r="D73" s="9" t="n">
        <f aca="false">IF(D9=0,0,D16/D9)</f>
        <v>103.054054054054</v>
      </c>
      <c r="E73" s="9" t="n">
        <f aca="false">IF(E9=0,0,E16/E9)</f>
        <v>104.833333333333</v>
      </c>
      <c r="F73" s="9" t="n">
        <f aca="false">IF(F9=0,0,F16/F9)</f>
        <v>105.140350877193</v>
      </c>
      <c r="G73" s="9" t="n">
        <f aca="false">IF(G9=0,0,G16/G9)</f>
        <v>105.176470588235</v>
      </c>
      <c r="H73" s="9" t="n">
        <f aca="false">IF(H9=0,0,H16/H9)</f>
        <v>103.803149606299</v>
      </c>
    </row>
    <row r="74" customFormat="false" ht="15" hidden="false" customHeight="true" outlineLevel="0" collapsed="false">
      <c r="A74" s="6" t="s">
        <v>158</v>
      </c>
      <c r="B74" s="27" t="n">
        <f aca="false">B30*Assumptions!C12</f>
        <v>34.95</v>
      </c>
      <c r="C74" s="27" t="n">
        <f aca="false">C30*Assumptions!C12</f>
        <v>104.85</v>
      </c>
      <c r="D74" s="27" t="n">
        <f aca="false">D30*Assumptions!C12</f>
        <v>209.7</v>
      </c>
      <c r="E74" s="27" t="n">
        <f aca="false">E30*Assumptions!C12</f>
        <v>349.5</v>
      </c>
      <c r="F74" s="27" t="n">
        <f aca="false">F30*Assumptions!C12</f>
        <v>524.25</v>
      </c>
      <c r="G74" s="27" t="n">
        <f aca="false">G30*Assumptions!C12</f>
        <v>733.95</v>
      </c>
      <c r="H74" s="28" t="n">
        <f aca="false">G74</f>
        <v>733.95</v>
      </c>
    </row>
    <row r="75" customFormat="false" ht="15" hidden="false" customHeight="true" outlineLevel="0" collapsed="false">
      <c r="A75" s="6" t="s">
        <v>159</v>
      </c>
      <c r="B75" s="25" t="n">
        <f aca="false">B40</f>
        <v>1</v>
      </c>
      <c r="C75" s="25" t="n">
        <f aca="false">B75+C40</f>
        <v>3</v>
      </c>
      <c r="D75" s="25" t="n">
        <f aca="false">C75+D40</f>
        <v>6</v>
      </c>
      <c r="E75" s="25" t="n">
        <f aca="false">D75+E40</f>
        <v>10</v>
      </c>
      <c r="F75" s="25" t="n">
        <f aca="false">E75+F40</f>
        <v>15</v>
      </c>
      <c r="G75" s="25" t="n">
        <f aca="false">F75+G40</f>
        <v>21</v>
      </c>
      <c r="H75" s="25" t="n">
        <f aca="false">G75</f>
        <v>21</v>
      </c>
    </row>
    <row r="76" customFormat="false" ht="15" hidden="false" customHeight="true" outlineLevel="0" collapsed="false">
      <c r="A76" s="6" t="s">
        <v>160</v>
      </c>
      <c r="B76" s="10" t="n">
        <f aca="false">IF(B47=0,0,B16/B47)</f>
        <v>0.93691729539</v>
      </c>
      <c r="C76" s="10" t="n">
        <f aca="false">IF(C47=0,0,C16/C47)</f>
        <v>0.914989075504111</v>
      </c>
      <c r="D76" s="10" t="n">
        <f aca="false">IF(D47=0,0,D16/D47)</f>
        <v>0.897662264284201</v>
      </c>
      <c r="E76" s="10" t="n">
        <f aca="false">IF(E47=0,0,E16/E47)</f>
        <v>0.885681598169498</v>
      </c>
      <c r="F76" s="10" t="n">
        <f aca="false">IF(F47=0,0,F16/F47)</f>
        <v>0.8695273676956</v>
      </c>
      <c r="G76" s="10" t="n">
        <f aca="false">IF(G47=0,0,G16/G47)</f>
        <v>0.857970597232469</v>
      </c>
      <c r="H76" s="10" t="n">
        <f aca="false">IF(H47=0,0,H16/H47)</f>
        <v>0.881859108575098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2026-04-27T19:27:26Z</dcterms:created>
  <dc:creator>openpyxl</dc:creator>
  <dc:description/>
  <dc:language>en-US</dc:language>
  <cp:lastModifiedBy/>
  <dcterms:modified xsi:type="dcterms:W3CDTF">2026-04-27T19:43:06Z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