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Volume" sheetId="3" state="visible" r:id="rId3"/>
    <sheet name="Tier_Populations" sheetId="4" state="visible" r:id="rId4"/>
    <sheet name="AP_PnL_Pass" sheetId="5" state="visible" r:id="rId5"/>
    <sheet name="AP_PnL_Fail" sheetId="6" state="visible" r:id="rId6"/>
    <sheet name="CL_PnL_Pass" sheetId="7" state="visible" r:id="rId7"/>
    <sheet name="CL_PnL_Fail" sheetId="8" state="visible" r:id="rId8"/>
    <sheet name="Consolidated" sheetId="9" state="visible" r:id="rId9"/>
    <sheet name="Sensitivities" sheetId="10" state="visible" r:id="rId10"/>
    <sheet name="Variance_vs_v1" sheetId="11" state="visible" r:id="rId11"/>
    <sheet name="Conflicts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/>
    <font>
      <b val="1"/>
      <sz val="14"/>
    </font>
    <font>
      <b val="1"/>
      <color rgb="00FFFFFF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3" fontId="0" fillId="0" borderId="0" pivotButton="0" quotePrefix="0" xfId="0"/>
    <xf numFmtId="0" fontId="2" fillId="4" borderId="0" pivotButton="0" quotePrefix="0" xfId="0"/>
    <xf numFmtId="3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4" fillId="5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2" fillId="7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6" borderId="0" pivotButton="0" quotePrefix="0" xfId="0"/>
    <xf numFmtId="164" fontId="2" fillId="4" borderId="0" pivotButton="0" quotePrefix="0" xfId="0"/>
    <xf numFmtId="0" fontId="6" fillId="0" borderId="0" applyAlignment="1" pivotButton="0" quotePrefix="0" xfId="0">
      <alignment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Tiered Platform Financial Model — v2 — Two-Entity Structure</t>
        </is>
      </c>
    </row>
    <row r="3" ht="30" customHeight="1">
      <c r="A3" s="2" t="inlineStr">
        <is>
          <t>Date</t>
        </is>
      </c>
      <c r="B3" s="3" t="inlineStr">
        <is>
          <t>2026-05-12 (rebuilt 2026-05-25)</t>
        </is>
      </c>
    </row>
    <row r="4" ht="30" customHeight="1">
      <c r="A4" s="2" t="inlineStr">
        <is>
          <t>Owner</t>
        </is>
      </c>
      <c r="B4" s="3" t="inlineStr">
        <is>
          <t>Keith Antony</t>
        </is>
      </c>
    </row>
    <row r="5" ht="30" customHeight="1">
      <c r="A5" s="2" t="inlineStr">
        <is>
          <t>Status</t>
        </is>
      </c>
      <c r="B5" s="3" t="inlineStr">
        <is>
          <t>Discovery / exercise. Pairs with tiered-platform-model-v2.md</t>
        </is>
      </c>
    </row>
    <row r="6" ht="30" customHeight="1">
      <c r="A6" s="2" t="inlineStr">
        <is>
          <t>Aligned to</t>
        </is>
      </c>
      <c r="B6" s="3" t="inlineStr">
        <is>
          <t>2026-05-12-longitudinal-tracker-decision.md</t>
        </is>
      </c>
    </row>
    <row r="7" ht="30" customHeight="1">
      <c r="A7" s="4" t="inlineStr"/>
      <c r="B7" s="3" t="inlineStr"/>
    </row>
    <row r="8" ht="30" customHeight="1">
      <c r="A8" s="2" t="inlineStr">
        <is>
          <t>STRUCTURE</t>
        </is>
      </c>
      <c r="B8" s="3" t="inlineStr"/>
    </row>
    <row r="9" ht="30" customHeight="1">
      <c r="A9" s="2" t="inlineStr">
        <is>
          <t>README</t>
        </is>
      </c>
      <c r="B9" s="3" t="inlineStr">
        <is>
          <t>This sheet.</t>
        </is>
      </c>
    </row>
    <row r="10" ht="30" customHeight="1">
      <c r="A10" s="2" t="inlineStr">
        <is>
          <t>Assumptions</t>
        </is>
      </c>
      <c r="B10" s="3" t="inlineStr">
        <is>
          <t>Every editable input. Change here, watch downstream sheets re-flow.</t>
        </is>
      </c>
    </row>
    <row r="11" ht="30" customHeight="1">
      <c r="A11" s="2" t="inlineStr">
        <is>
          <t>Volume</t>
        </is>
      </c>
      <c r="B11" s="3" t="inlineStr">
        <is>
          <t>Monthly kit volume M1-M36, by kit type.</t>
        </is>
      </c>
    </row>
    <row r="12" ht="30" customHeight="1">
      <c r="A12" s="2" t="inlineStr">
        <is>
          <t>Tier_Populations</t>
        </is>
      </c>
      <c r="B12" s="3" t="inlineStr">
        <is>
          <t>Monthly Base/Opt/Perf populations for pass and fail cases.</t>
        </is>
      </c>
    </row>
    <row r="13" ht="30" customHeight="1">
      <c r="A13" s="2" t="inlineStr">
        <is>
          <t>AP_PnL_Pass</t>
        </is>
      </c>
      <c r="B13" s="3" t="inlineStr">
        <is>
          <t>Andro Prime Ltd monthly P&amp;L — v2 gate passes.</t>
        </is>
      </c>
    </row>
    <row r="14" ht="30" customHeight="1">
      <c r="A14" s="2" t="inlineStr">
        <is>
          <t>AP_PnL_Fail</t>
        </is>
      </c>
      <c r="B14" s="3" t="inlineStr">
        <is>
          <t>Andro Prime Ltd monthly P&amp;L — v2 gate fails.</t>
        </is>
      </c>
    </row>
    <row r="15" ht="30" customHeight="1">
      <c r="A15" s="2" t="inlineStr">
        <is>
          <t>CL_PnL_Pass</t>
        </is>
      </c>
      <c r="B15" s="3" t="inlineStr">
        <is>
          <t>Clinical Ltd monthly P&amp;L — v2 gate passes.</t>
        </is>
      </c>
    </row>
    <row r="16" ht="30" customHeight="1">
      <c r="A16" s="2" t="inlineStr">
        <is>
          <t>CL_PnL_Fail</t>
        </is>
      </c>
      <c r="B16" s="3" t="inlineStr">
        <is>
          <t>Clinical Ltd monthly P&amp;L — v2 gate fails.</t>
        </is>
      </c>
    </row>
    <row r="17" ht="30" customHeight="1">
      <c r="A17" s="2" t="inlineStr">
        <is>
          <t>Consolidated</t>
        </is>
      </c>
      <c r="B17" s="3" t="inlineStr">
        <is>
          <t>HoldingCo view: AP + CL net of intercompany.</t>
        </is>
      </c>
    </row>
    <row r="18" ht="30" customHeight="1">
      <c r="A18" s="2" t="inlineStr">
        <is>
          <t>Sensitivities</t>
        </is>
      </c>
      <c r="B18" s="3" t="inlineStr">
        <is>
          <t>CQC delay (M12 / M15 / M18), volume haircut, conversion rate.</t>
        </is>
      </c>
    </row>
    <row r="19" ht="30" customHeight="1">
      <c r="A19" s="2" t="inlineStr">
        <is>
          <t>Variance_vs_v1</t>
        </is>
      </c>
      <c r="B19" s="3" t="inlineStr">
        <is>
          <t>Comparison to v1 of this model (single-entity).</t>
        </is>
      </c>
    </row>
    <row r="20" ht="30" customHeight="1">
      <c r="A20" s="2" t="inlineStr">
        <is>
          <t>Conflicts_Log</t>
        </is>
      </c>
      <c r="B20" s="3" t="inlineStr">
        <is>
          <t>The 12 conflicts flagged in v2 doc and how each was resolved.</t>
        </is>
      </c>
    </row>
    <row r="21" ht="30" customHeight="1">
      <c r="A21" s="4" t="inlineStr"/>
      <c r="B21" s="3" t="inlineStr"/>
    </row>
    <row r="22" ht="30" customHeight="1">
      <c r="A22" s="2" t="inlineStr">
        <is>
          <t>DECISIONS LOCKED IN BUILD</t>
        </is>
      </c>
      <c r="B22" s="3" t="inlineStr"/>
    </row>
    <row r="23" ht="30" customHeight="1">
      <c r="A23" s="2" t="inlineStr">
        <is>
          <t>Y1 baseline anchor</t>
        </is>
      </c>
      <c r="B23" s="3" t="inlineStr">
        <is>
          <t>v2 doc as written (AP M12 cum cash = £42,526) — per Keith 2026-05-25</t>
        </is>
      </c>
    </row>
    <row r="24" ht="30" customHeight="1">
      <c r="A24" s="2" t="inlineStr">
        <is>
          <t>Performance tier</t>
        </is>
      </c>
      <c r="B24" s="3" t="inlineStr">
        <is>
          <t>Sub-tier of Optimisation. Same per-customer economics, elevated retest cadence (4-mo vs 12-mo). Signals clinical eligibility. Per Keith 2026-05-25.</t>
        </is>
      </c>
    </row>
    <row r="25" ht="30" customHeight="1">
      <c r="A25" s="2" t="inlineStr">
        <is>
          <t>v2 gate evaluated at</t>
        </is>
      </c>
      <c r="B25" s="3" t="inlineStr">
        <is>
          <t>M12 (per doc text). Decision doc 6-mo-elapsed condition would suggest M10. See Conflicts_Log row 5.</t>
        </is>
      </c>
    </row>
    <row r="26" ht="30" customHeight="1">
      <c r="A26" s="2" t="inlineStr">
        <is>
          <t>CQC timing</t>
        </is>
      </c>
      <c r="B26" s="3" t="inlineStr">
        <is>
          <t>Granted end-M12, ramp from M13.</t>
        </is>
      </c>
    </row>
    <row r="27" ht="30" customHeight="1">
      <c r="A27" s="2" t="inlineStr">
        <is>
          <t>Ewa retainer schedule</t>
        </is>
      </c>
      <c r="B27" s="3" t="inlineStr">
        <is>
          <t>£1k/mo Y1, £1.5k/mo Y2, £2k/mo Y3 = £54k total (matches doc headline £54k).</t>
        </is>
      </c>
    </row>
    <row r="28" ht="30" customHeight="1">
      <c r="A28" s="2" t="inlineStr">
        <is>
          <t>CL pre-CQC burn</t>
        </is>
      </c>
      <c r="B28" s="3" t="inlineStr">
        <is>
          <t>£53k spread flat M1-M12 = £4,417/mo.</t>
        </is>
      </c>
    </row>
    <row r="29" ht="30" customHeight="1">
      <c r="A29" s="2" t="inlineStr">
        <is>
          <t>Volume ramp M13-M36</t>
        </is>
      </c>
      <c r="B29" s="3" t="inlineStr">
        <is>
          <t>Linear from M12=180 -&gt; M36=500.</t>
        </is>
      </c>
    </row>
    <row r="30" ht="30" customHeight="1">
      <c r="A30" s="2" t="inlineStr">
        <is>
          <t>Intercompany rate</t>
        </is>
      </c>
      <c r="B30" s="3" t="inlineStr">
        <is>
          <t>15% of CL external revenue billed AP -&gt; CL as marketing services.</t>
        </is>
      </c>
    </row>
    <row r="31" ht="30" customHeight="1">
      <c r="A31" s="4" t="inlineStr"/>
      <c r="B31" s="3" t="inlineStr"/>
    </row>
    <row r="32" ht="30" customHeight="1">
      <c r="A32" s="2" t="inlineStr">
        <is>
          <t>ANCHOR TO V2 DOC</t>
        </is>
      </c>
      <c r="B32" s="3" t="inlineStr"/>
    </row>
    <row r="33" ht="30" customHeight="1">
      <c r="A33" s="4" t="inlineStr"/>
      <c r="B33" s="3" t="inlineStr">
        <is>
          <t>Model output reconciles to the doc's published M12/M24/M36 headlines via an explicit 'Calibration plug to doc target' line on each P&amp;L. The plug is visible so Keith can see the gap between bottom-up math and the doc number, and shrink it by adjusting drivers.</t>
        </is>
      </c>
    </row>
    <row r="34" ht="30" customHeight="1">
      <c r="A34" s="4" t="inlineStr"/>
      <c r="B34" s="3" t="inlineStr"/>
    </row>
    <row r="35" ht="30" customHeight="1">
      <c r="A35" s="2" t="inlineStr">
        <is>
          <t>HONESTY</t>
        </is>
      </c>
      <c r="B35" s="3" t="inlineStr"/>
    </row>
    <row r="36" ht="30" customHeight="1">
      <c r="A36" s="4" t="inlineStr"/>
      <c r="B36" s="3" t="inlineStr">
        <is>
          <t>The v2 doc is exploratory. This workbook makes the doc's math walkable. Many drivers are estimates with M / L confidence. Treat the headline numbers as scaffolding, not as a plan.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23" customWidth="1" min="3" max="3"/>
    <col width="17" customWidth="1" min="4" max="4"/>
    <col width="42" customWidth="1" min="5" max="5"/>
  </cols>
  <sheetData>
    <row r="1">
      <c r="A1" s="5" t="inlineStr">
        <is>
          <t>Assumptions — every editable input</t>
        </is>
      </c>
    </row>
    <row r="2"/>
    <row r="3">
      <c r="A3" s="6" t="inlineStr">
        <is>
          <t>SECTION</t>
        </is>
      </c>
      <c r="B3" s="6" t="inlineStr">
        <is>
          <t>INPUT</t>
        </is>
      </c>
      <c r="C3" s="6" t="inlineStr">
        <is>
          <t>VALUE</t>
        </is>
      </c>
      <c r="D3" s="6" t="inlineStr">
        <is>
          <t>UNIT</t>
        </is>
      </c>
      <c r="E3" s="6" t="inlineStr">
        <is>
          <t>CONFIDENCE / NOTE</t>
        </is>
      </c>
    </row>
    <row r="4">
      <c r="A4" t="inlineStr"/>
      <c r="B4" t="inlineStr"/>
      <c r="C4" t="inlineStr"/>
      <c r="D4" t="inlineStr"/>
      <c r="E4" t="inlineStr"/>
    </row>
    <row r="5">
      <c r="A5" s="7" t="inlineStr">
        <is>
          <t>Kit economics</t>
        </is>
      </c>
      <c r="B5" s="2" t="inlineStr">
        <is>
          <t>Kit 1 blended net (50/50 affiliate)</t>
        </is>
      </c>
      <c r="C5" s="2" t="n">
        <v>25.7</v>
      </c>
      <c r="D5" s="2" t="inlineStr">
        <is>
          <t>£/kit</t>
        </is>
      </c>
      <c r="E5" s="2" t="inlineStr">
        <is>
          <t>H — option-4 v3 §1.1.4</t>
        </is>
      </c>
    </row>
    <row r="6">
      <c r="A6" t="inlineStr"/>
      <c r="B6" t="inlineStr">
        <is>
          <t>Kit 2 blended net</t>
        </is>
      </c>
      <c r="C6" t="n">
        <v>39.72</v>
      </c>
      <c r="D6" t="inlineStr">
        <is>
          <t>£/kit</t>
        </is>
      </c>
      <c r="E6" t="inlineStr">
        <is>
          <t>H — option-4 v3 §1.1.4</t>
        </is>
      </c>
    </row>
    <row r="7">
      <c r="A7" t="inlineStr"/>
      <c r="B7" t="inlineStr">
        <is>
          <t>Kit 3 blended net</t>
        </is>
      </c>
      <c r="C7" t="n">
        <v>55.3</v>
      </c>
      <c r="D7" t="inlineStr">
        <is>
          <t>£/kit</t>
        </is>
      </c>
      <c r="E7" t="inlineStr">
        <is>
          <t>H — option-4 v3 §1.1.4</t>
        </is>
      </c>
    </row>
    <row r="8">
      <c r="A8" t="inlineStr"/>
      <c r="B8" t="inlineStr">
        <is>
          <t>Kit mix K1/K2/K3</t>
        </is>
      </c>
      <c r="C8" t="inlineStr">
        <is>
          <t>40/40/20</t>
        </is>
      </c>
      <c r="D8" t="inlineStr">
        <is>
          <t>%</t>
        </is>
      </c>
      <c r="E8" t="inlineStr">
        <is>
          <t>H — locked Option 4</t>
        </is>
      </c>
    </row>
    <row r="9">
      <c r="A9" t="inlineStr"/>
      <c r="B9" t="inlineStr">
        <is>
          <t>Weighted kit net</t>
        </is>
      </c>
      <c r="C9" t="n">
        <v>37.23</v>
      </c>
      <c r="D9" t="inlineStr">
        <is>
          <t>£/kit</t>
        </is>
      </c>
      <c r="E9" t="inlineStr">
        <is>
          <t>Derived: 0.4*25.70 + 0.4*39.72 + 0.2*55.30</t>
        </is>
      </c>
    </row>
    <row r="10">
      <c r="A10" s="7" t="inlineStr">
        <is>
          <t>Supplements</t>
        </is>
      </c>
      <c r="B10" s="2" t="inlineStr">
        <is>
          <t>Daily Stack net/sub/mo</t>
        </is>
      </c>
      <c r="C10" s="2" t="n">
        <v>22.08</v>
      </c>
      <c r="D10" s="2" t="inlineStr">
        <is>
          <t>£/mo</t>
        </is>
      </c>
      <c r="E10" s="2" t="inlineStr">
        <is>
          <t>H — option-4 v3</t>
        </is>
      </c>
    </row>
    <row r="11">
      <c r="A11" t="inlineStr"/>
      <c r="B11" t="inlineStr">
        <is>
          <t>Collagen net/sub/mo (K2 only)</t>
        </is>
      </c>
      <c r="C11" t="n">
        <v>16.2</v>
      </c>
      <c r="D11" t="inlineStr">
        <is>
          <t>£/mo</t>
        </is>
      </c>
      <c r="E11" t="inlineStr">
        <is>
          <t>H</t>
        </is>
      </c>
    </row>
    <row r="12">
      <c r="A12" t="inlineStr"/>
      <c r="B12" t="inlineStr">
        <is>
          <t>Kit -&gt; Daily Stack conversion</t>
        </is>
      </c>
      <c r="C12" t="n">
        <v>0.15</v>
      </c>
      <c r="D12" t="inlineStr">
        <is>
          <t>%</t>
        </is>
      </c>
      <c r="E12" t="inlineStr">
        <is>
          <t>M — Agent C planning case</t>
        </is>
      </c>
    </row>
    <row r="13">
      <c r="A13" t="inlineStr"/>
      <c r="B13" t="inlineStr">
        <is>
          <t>Kit 2 -&gt; Collagen conversion</t>
        </is>
      </c>
      <c r="C13" t="n">
        <v>0.15</v>
      </c>
      <c r="D13" t="inlineStr">
        <is>
          <t>%</t>
        </is>
      </c>
      <c r="E13" t="inlineStr">
        <is>
          <t>L</t>
        </is>
      </c>
    </row>
    <row r="14">
      <c r="A14" t="inlineStr"/>
      <c r="B14" t="inlineStr">
        <is>
          <t>Daily Stack tenure (planning)</t>
        </is>
      </c>
      <c r="C14" t="n">
        <v>4</v>
      </c>
      <c r="D14" t="inlineStr">
        <is>
          <t>mo</t>
        </is>
      </c>
      <c r="E14" t="inlineStr">
        <is>
          <t>L — single largest swing variable</t>
        </is>
      </c>
    </row>
    <row r="15">
      <c r="A15" s="7" t="inlineStr">
        <is>
          <t>Retest</t>
        </is>
      </c>
      <c r="B15" s="2" t="inlineStr">
        <is>
          <t>Retest blended net</t>
        </is>
      </c>
      <c r="C15" s="2" t="n">
        <v>35</v>
      </c>
      <c r="D15" s="2" t="inlineStr">
        <is>
          <t>£/retest</t>
        </is>
      </c>
      <c r="E15" s="2" t="inlineStr">
        <is>
          <t>M — assumed Vitall + Stripe + fulfilment</t>
        </is>
      </c>
    </row>
    <row r="16">
      <c r="A16" t="inlineStr"/>
      <c r="B16" t="inlineStr">
        <is>
          <t>Opt retest cadence</t>
        </is>
      </c>
      <c r="C16" t="n">
        <v>12</v>
      </c>
      <c r="D16" t="inlineStr">
        <is>
          <t>mo</t>
        </is>
      </c>
      <c r="E16" t="inlineStr">
        <is>
          <t>Annual retest in Opt tier</t>
        </is>
      </c>
    </row>
    <row r="17">
      <c r="A17" t="inlineStr"/>
      <c r="B17" t="inlineStr">
        <is>
          <t>Perf retest cadence</t>
        </is>
      </c>
      <c r="C17" t="n">
        <v>4</v>
      </c>
      <c r="D17" t="inlineStr">
        <is>
          <t>mo</t>
        </is>
      </c>
      <c r="E17" t="inlineStr">
        <is>
          <t>More frequent — signals clinical eligibility</t>
        </is>
      </c>
    </row>
    <row r="18">
      <c r="A18" t="inlineStr"/>
      <c r="B18" t="inlineStr">
        <is>
          <t>Tracker ramp start month</t>
        </is>
      </c>
      <c r="C18" t="n">
        <v>4</v>
      </c>
      <c r="D18" t="inlineStr">
        <is>
          <t>M</t>
        </is>
      </c>
      <c r="E18" t="inlineStr">
        <is>
          <t>Tracker ships M3-M4 per decision doc</t>
        </is>
      </c>
    </row>
    <row r="19">
      <c r="A19" t="inlineStr"/>
      <c r="B19" t="inlineStr">
        <is>
          <t>Tracker ramp end month</t>
        </is>
      </c>
      <c r="C19" t="n">
        <v>13</v>
      </c>
      <c r="D19" t="inlineStr">
        <is>
          <t>M</t>
        </is>
      </c>
      <c r="E19" t="inlineStr">
        <is>
          <t>Full retest run-rate M13</t>
        </is>
      </c>
    </row>
    <row r="20">
      <c r="A20" s="7" t="inlineStr">
        <is>
          <t>Tier entry mix</t>
        </is>
      </c>
      <c r="B20" s="2" t="inlineStr">
        <is>
          <t>% entering Base</t>
        </is>
      </c>
      <c r="C20" s="2" t="n">
        <v>0.7</v>
      </c>
      <c r="D20" s="2" t="inlineStr">
        <is>
          <t>%</t>
        </is>
      </c>
      <c r="E20" s="2" t="inlineStr">
        <is>
          <t>Pre-CQC tier-entry split</t>
        </is>
      </c>
    </row>
    <row r="21">
      <c r="A21" t="inlineStr"/>
      <c r="B21" t="inlineStr">
        <is>
          <t>% entering Opt</t>
        </is>
      </c>
      <c r="C21" t="n">
        <v>0.3</v>
      </c>
      <c r="D21" t="inlineStr">
        <is>
          <t>%</t>
        </is>
      </c>
      <c r="E21" t="inlineStr"/>
    </row>
    <row r="22">
      <c r="A22" t="inlineStr"/>
      <c r="B22" t="inlineStr">
        <is>
          <t>% entering Perf</t>
        </is>
      </c>
      <c r="C22" t="n">
        <v>0</v>
      </c>
      <c r="D22" t="inlineStr">
        <is>
          <t>%</t>
        </is>
      </c>
      <c r="E22" t="inlineStr">
        <is>
          <t>Perf only reached via Opt-&gt;Perf transition</t>
        </is>
      </c>
    </row>
    <row r="23">
      <c r="A23" s="7" t="inlineStr">
        <is>
          <t>Tier transitions</t>
        </is>
      </c>
      <c r="B23" s="2" t="inlineStr">
        <is>
          <t>Pre-v2 Base -&gt; Opt</t>
        </is>
      </c>
      <c r="C23" s="2" t="n">
        <v>0.02</v>
      </c>
      <c r="D23" s="2" t="inlineStr">
        <is>
          <t>%/mo</t>
        </is>
      </c>
      <c r="E23" s="2" t="inlineStr">
        <is>
          <t>Per v2 doc methodology</t>
        </is>
      </c>
    </row>
    <row r="24">
      <c r="A24" t="inlineStr"/>
      <c r="B24" t="inlineStr">
        <is>
          <t>Pre-v2 Opt -&gt; Perf</t>
        </is>
      </c>
      <c r="C24" t="n">
        <v>0.015</v>
      </c>
      <c r="D24" t="inlineStr">
        <is>
          <t>%/mo</t>
        </is>
      </c>
      <c r="E24" t="inlineStr">
        <is>
          <t>Per v2 doc</t>
        </is>
      </c>
    </row>
    <row r="25">
      <c r="A25" t="inlineStr"/>
      <c r="B25" t="inlineStr">
        <is>
          <t>Post-v2 PASS Base -&gt; Opt</t>
        </is>
      </c>
      <c r="C25" t="n">
        <v>0.03</v>
      </c>
      <c r="D25" t="inlineStr">
        <is>
          <t>%/mo</t>
        </is>
      </c>
      <c r="E25" t="inlineStr">
        <is>
          <t>Per v2 doc — correlation engine uplift</t>
        </is>
      </c>
    </row>
    <row r="26">
      <c r="A26" t="inlineStr"/>
      <c r="B26" t="inlineStr">
        <is>
          <t>Post-v2 PASS Opt -&gt; Perf</t>
        </is>
      </c>
      <c r="C26" t="n">
        <v>0.025</v>
      </c>
      <c r="D26" t="inlineStr">
        <is>
          <t>%/mo</t>
        </is>
      </c>
      <c r="E26" t="inlineStr">
        <is>
          <t>Per v2 doc</t>
        </is>
      </c>
    </row>
    <row r="27">
      <c r="A27" t="inlineStr"/>
      <c r="B27" t="inlineStr">
        <is>
          <t>Post-v2 FAIL</t>
        </is>
      </c>
      <c r="C27" t="inlineStr">
        <is>
          <t>stays at pre-v2 rates</t>
        </is>
      </c>
      <c r="D27" t="inlineStr"/>
      <c r="E27" t="inlineStr">
        <is>
          <t>Per v2 doc</t>
        </is>
      </c>
    </row>
    <row r="28">
      <c r="A28" t="inlineStr"/>
      <c r="B28" t="inlineStr">
        <is>
          <t>v2 gate evaluation month</t>
        </is>
      </c>
      <c r="C28" t="n">
        <v>12</v>
      </c>
      <c r="D28" t="inlineStr">
        <is>
          <t>M</t>
        </is>
      </c>
      <c r="E28" t="inlineStr">
        <is>
          <t>Per doc. Decision doc would suggest M10 — see Conflicts_Log row 5</t>
        </is>
      </c>
    </row>
    <row r="29">
      <c r="A29" s="7" t="inlineStr">
        <is>
          <t>Cross-entity</t>
        </is>
      </c>
      <c r="B29" s="2" t="inlineStr">
        <is>
          <t>Perf -&gt; Clinical PASS</t>
        </is>
      </c>
      <c r="C29" s="2" t="n">
        <v>0.04</v>
      </c>
      <c r="D29" s="2" t="inlineStr">
        <is>
          <t>%/mo</t>
        </is>
      </c>
      <c r="E29" s="2" t="inlineStr">
        <is>
          <t>Per v2 doc</t>
        </is>
      </c>
    </row>
    <row r="30">
      <c r="A30" t="inlineStr"/>
      <c r="B30" t="inlineStr">
        <is>
          <t>Perf -&gt; Clinical FAIL</t>
        </is>
      </c>
      <c r="C30" t="n">
        <v>0.02</v>
      </c>
      <c r="D30" t="inlineStr">
        <is>
          <t>%/mo</t>
        </is>
      </c>
      <c r="E30" t="inlineStr">
        <is>
          <t>Per v2 doc</t>
        </is>
      </c>
    </row>
    <row r="31">
      <c r="A31" t="inlineStr"/>
      <c r="B31" t="inlineStr">
        <is>
          <t>CQC grant month</t>
        </is>
      </c>
      <c r="C31" t="n">
        <v>12</v>
      </c>
      <c r="D31" t="inlineStr">
        <is>
          <t>M</t>
        </is>
      </c>
      <c r="E31" t="inlineStr">
        <is>
          <t>Per doc</t>
        </is>
      </c>
    </row>
    <row r="32">
      <c r="A32" t="inlineStr"/>
      <c r="B32" t="inlineStr">
        <is>
          <t>Clinical ramp start month</t>
        </is>
      </c>
      <c r="C32" t="n">
        <v>13</v>
      </c>
      <c r="D32" t="inlineStr">
        <is>
          <t>M</t>
        </is>
      </c>
      <c r="E32" t="inlineStr">
        <is>
          <t>M13 first prescriptions</t>
        </is>
      </c>
    </row>
    <row r="33">
      <c r="A33" s="7" t="inlineStr">
        <is>
          <t>Churn</t>
        </is>
      </c>
      <c r="B33" s="2" t="inlineStr">
        <is>
          <t>Monthly customer churn (AP)</t>
        </is>
      </c>
      <c r="C33" s="2" t="n">
        <v>0.02</v>
      </c>
      <c r="D33" s="2" t="inlineStr">
        <is>
          <t>%/mo</t>
        </is>
      </c>
      <c r="E33" s="2" t="inlineStr">
        <is>
          <t>Proportional off all tiers</t>
        </is>
      </c>
    </row>
    <row r="34">
      <c r="A34" t="inlineStr"/>
      <c r="B34" t="inlineStr">
        <is>
          <t>Monthly patient churn (CL)</t>
        </is>
      </c>
      <c r="C34" t="n">
        <v>0.03</v>
      </c>
      <c r="D34" t="inlineStr">
        <is>
          <t>%/mo</t>
        </is>
      </c>
      <c r="E34" t="inlineStr">
        <is>
          <t>Clinical attrition</t>
        </is>
      </c>
    </row>
    <row r="35">
      <c r="A35" s="7" t="inlineStr">
        <is>
          <t>Clinical Ltd economics</t>
        </is>
      </c>
      <c r="B35" s="2" t="inlineStr">
        <is>
          <t>ARPU per active clinical patient</t>
        </is>
      </c>
      <c r="C35" s="2" t="n">
        <v>200</v>
      </c>
      <c r="D35" s="2" t="inlineStr">
        <is>
          <t>£/mo</t>
        </is>
      </c>
      <c r="E35" s="2" t="inlineStr">
        <is>
          <t>Blended TRT subscription</t>
        </is>
      </c>
    </row>
    <row r="36">
      <c r="A36" t="inlineStr"/>
      <c r="B36" t="inlineStr">
        <is>
          <t>Clinical gross margin</t>
        </is>
      </c>
      <c r="C36" t="n">
        <v>0.55</v>
      </c>
      <c r="D36" t="inlineStr">
        <is>
          <t>%</t>
        </is>
      </c>
      <c r="E36" t="inlineStr">
        <is>
          <t>Per v1 model — pharmacy + clinician time</t>
        </is>
      </c>
    </row>
    <row r="37">
      <c r="A37" t="inlineStr"/>
      <c r="B37" t="inlineStr">
        <is>
          <t>Pre-CQC burn (M1-M12 total)</t>
        </is>
      </c>
      <c r="C37" t="n">
        <v>53000</v>
      </c>
      <c r="D37" t="inlineStr">
        <is>
          <t>£</t>
        </is>
      </c>
      <c r="E37" t="inlineStr">
        <is>
          <t>Per v2 doc: clinical director retainer + CQC application + legal/ops setup</t>
        </is>
      </c>
    </row>
    <row r="38">
      <c r="A38" t="inlineStr"/>
      <c r="B38" t="inlineStr">
        <is>
          <t>Pre-CQC burn (monthly)</t>
        </is>
      </c>
      <c r="C38" t="n">
        <v>4417</v>
      </c>
      <c r="D38" t="inlineStr">
        <is>
          <t>£/mo</t>
        </is>
      </c>
      <c r="E38">
        <f> £53k / 12</f>
        <v/>
      </c>
    </row>
    <row r="39">
      <c r="A39" t="inlineStr"/>
      <c r="B39" t="inlineStr">
        <is>
          <t>Post-CQC OpEx Y2</t>
        </is>
      </c>
      <c r="C39" t="n">
        <v>4000</v>
      </c>
      <c r="D39" t="inlineStr">
        <is>
          <t>£/mo</t>
        </is>
      </c>
      <c r="E39" t="inlineStr"/>
    </row>
    <row r="40">
      <c r="A40" t="inlineStr"/>
      <c r="B40" t="inlineStr">
        <is>
          <t>Post-CQC OpEx Y3</t>
        </is>
      </c>
      <c r="C40" t="n">
        <v>6000</v>
      </c>
      <c r="D40" t="inlineStr">
        <is>
          <t>£/mo</t>
        </is>
      </c>
      <c r="E40" t="inlineStr"/>
    </row>
    <row r="41">
      <c r="A41" s="7" t="inlineStr">
        <is>
          <t>Intercompany</t>
        </is>
      </c>
      <c r="B41" s="2" t="inlineStr">
        <is>
          <t>Marketing services transfer rate</t>
        </is>
      </c>
      <c r="C41" s="2" t="n">
        <v>0.15</v>
      </c>
      <c r="D41" s="2" t="inlineStr">
        <is>
          <t>% of CL ext rev</t>
        </is>
      </c>
      <c r="E41" s="2" t="inlineStr">
        <is>
          <t>Per v2 doc — VALIDATE w/ tax advisor before locking</t>
        </is>
      </c>
    </row>
    <row r="42">
      <c r="A42" s="7" t="inlineStr">
        <is>
          <t>AP overhead</t>
        </is>
      </c>
      <c r="B42" s="2" t="inlineStr">
        <is>
          <t>Fixed overhead Y1</t>
        </is>
      </c>
      <c r="C42" s="2" t="n">
        <v>593</v>
      </c>
      <c r="D42" s="2" t="inlineStr">
        <is>
          <t>£/mo</t>
        </is>
      </c>
      <c r="E42" s="2" t="inlineStr">
        <is>
          <t>H — v72-canonical</t>
        </is>
      </c>
    </row>
    <row r="43">
      <c r="A43" t="inlineStr"/>
      <c r="B43" t="inlineStr">
        <is>
          <t>Fixed overhead Y2</t>
        </is>
      </c>
      <c r="C43" t="n">
        <v>1500</v>
      </c>
      <c r="D43" t="inlineStr">
        <is>
          <t>£/mo</t>
        </is>
      </c>
      <c r="E43" t="inlineStr">
        <is>
          <t>Escalates with scale</t>
        </is>
      </c>
    </row>
    <row r="44">
      <c r="A44" t="inlineStr"/>
      <c r="B44" t="inlineStr">
        <is>
          <t>Fixed overhead Y3</t>
        </is>
      </c>
      <c r="C44" t="n">
        <v>2500</v>
      </c>
      <c r="D44" t="inlineStr">
        <is>
          <t>£/mo</t>
        </is>
      </c>
      <c r="E44" t="inlineStr">
        <is>
          <t>Escalates</t>
        </is>
      </c>
    </row>
    <row r="45">
      <c r="A45" s="7" t="inlineStr">
        <is>
          <t>AP paid media</t>
        </is>
      </c>
      <c r="B45" s="2" t="inlineStr">
        <is>
          <t>Paid media Y1</t>
        </is>
      </c>
      <c r="C45" s="2" t="n">
        <v>0</v>
      </c>
      <c r="D45" s="2" t="inlineStr">
        <is>
          <t>£/mo</t>
        </is>
      </c>
      <c r="E45" s="2" t="inlineStr">
        <is>
          <t>Per v2.2 plan §6.6</t>
        </is>
      </c>
    </row>
    <row r="46">
      <c r="A46" t="inlineStr"/>
      <c r="B46" t="inlineStr">
        <is>
          <t>Paid media Y2</t>
        </is>
      </c>
      <c r="C46" t="n">
        <v>1500</v>
      </c>
      <c r="D46" t="inlineStr">
        <is>
          <t>£/mo</t>
        </is>
      </c>
      <c r="E46" t="inlineStr"/>
    </row>
    <row r="47">
      <c r="A47" t="inlineStr"/>
      <c r="B47" t="inlineStr">
        <is>
          <t>Paid media Y3</t>
        </is>
      </c>
      <c r="C47" t="n">
        <v>3000</v>
      </c>
      <c r="D47" t="inlineStr">
        <is>
          <t>£/mo</t>
        </is>
      </c>
      <c r="E47" t="inlineStr">
        <is>
          <t>v2 doc flags '£3k/mo AP may be light' for 500 kits/mo</t>
        </is>
      </c>
    </row>
    <row r="48">
      <c r="A48" s="7" t="inlineStr">
        <is>
          <t>Ewa retainer</t>
        </is>
      </c>
      <c r="B48" s="2" t="inlineStr">
        <is>
          <t>Y1</t>
        </is>
      </c>
      <c r="C48" s="2" t="n">
        <v>1000</v>
      </c>
      <c r="D48" s="2" t="inlineStr">
        <is>
          <t>£/mo</t>
        </is>
      </c>
      <c r="E48" s="2" t="inlineStr">
        <is>
          <t>Placeholder per v2 doc</t>
        </is>
      </c>
    </row>
    <row r="49">
      <c r="A49" t="inlineStr"/>
      <c r="B49" t="inlineStr">
        <is>
          <t>Y2</t>
        </is>
      </c>
      <c r="C49" t="n">
        <v>1500</v>
      </c>
      <c r="D49" t="inlineStr">
        <is>
          <t>£/mo</t>
        </is>
      </c>
      <c r="E49" t="inlineStr">
        <is>
          <t>Escalation modelled to hit £54k cumulative</t>
        </is>
      </c>
    </row>
    <row r="50">
      <c r="A50" t="inlineStr"/>
      <c r="B50" t="inlineStr">
        <is>
          <t>Y3</t>
        </is>
      </c>
      <c r="C50" t="n">
        <v>2000</v>
      </c>
      <c r="D50" t="inlineStr">
        <is>
          <t>£/mo</t>
        </is>
      </c>
      <c r="E50" t="inlineStr">
        <is>
          <t>Escalation</t>
        </is>
      </c>
    </row>
    <row r="51">
      <c r="A51" t="inlineStr"/>
      <c r="B51" t="inlineStr">
        <is>
          <t>3-yr total</t>
        </is>
      </c>
      <c r="C51" t="n">
        <v>54000</v>
      </c>
      <c r="D51" t="inlineStr">
        <is>
          <t>£</t>
        </is>
      </c>
      <c r="E51" t="inlineStr">
        <is>
          <t>Matches v2 doc headline</t>
        </is>
      </c>
    </row>
    <row r="52">
      <c r="A52" s="7" t="inlineStr">
        <is>
          <t>Tracker build</t>
        </is>
      </c>
      <c r="B52" s="2" t="inlineStr">
        <is>
          <t>M3</t>
        </is>
      </c>
      <c r="C52" s="2" t="n">
        <v>4000</v>
      </c>
      <c r="D52" s="2" t="inlineStr">
        <is>
          <t>£ one-off</t>
        </is>
      </c>
      <c r="E52" s="2" t="inlineStr">
        <is>
          <t>v1 build per decision doc</t>
        </is>
      </c>
    </row>
    <row r="53">
      <c r="A53" t="inlineStr"/>
      <c r="B53" t="inlineStr">
        <is>
          <t>M4</t>
        </is>
      </c>
      <c r="C53" t="n">
        <v>4000</v>
      </c>
      <c r="D53" t="inlineStr">
        <is>
          <t>£ one-off</t>
        </is>
      </c>
      <c r="E53" t="inlineStr"/>
    </row>
    <row r="54">
      <c r="A54" s="7" t="inlineStr">
        <is>
          <t>Volume</t>
        </is>
      </c>
      <c r="B54" s="2" t="inlineStr">
        <is>
          <t>M12 kits/mo</t>
        </is>
      </c>
      <c r="C54" s="2" t="n">
        <v>180</v>
      </c>
      <c r="D54" s="2" t="inlineStr">
        <is>
          <t>kits</t>
        </is>
      </c>
      <c r="E54" s="2" t="inlineStr">
        <is>
          <t>Per option-4 v3</t>
        </is>
      </c>
    </row>
    <row r="55">
      <c r="A55" t="inlineStr"/>
      <c r="B55" t="inlineStr">
        <is>
          <t>M36 kits/mo</t>
        </is>
      </c>
      <c r="C55" t="n">
        <v>500</v>
      </c>
      <c r="D55" t="inlineStr">
        <is>
          <t>kits</t>
        </is>
      </c>
      <c r="E55" t="inlineStr">
        <is>
          <t>Per v2 doc target</t>
        </is>
      </c>
    </row>
    <row r="56">
      <c r="A56" t="inlineStr"/>
      <c r="B56" t="inlineStr">
        <is>
          <t>Ramp shape M13-M36</t>
        </is>
      </c>
      <c r="C56" t="inlineStr">
        <is>
          <t>linear</t>
        </is>
      </c>
      <c r="D56" t="inlineStr">
        <is>
          <t>—</t>
        </is>
      </c>
      <c r="E56" t="inlineStr">
        <is>
          <t>Linear from 180 to 500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5" t="inlineStr">
        <is>
          <t>Volume — monthly kits M1-M36</t>
        </is>
      </c>
    </row>
    <row r="2"/>
    <row r="3">
      <c r="A3" s="6" t="inlineStr">
        <is>
          <t>Month</t>
        </is>
      </c>
      <c r="B3" s="6" t="inlineStr">
        <is>
          <t>Year</t>
        </is>
      </c>
      <c r="C3" s="6" t="inlineStr">
        <is>
          <t>Total kits</t>
        </is>
      </c>
      <c r="D3" s="6" t="inlineStr">
        <is>
          <t>K1 (40%)</t>
        </is>
      </c>
      <c r="E3" s="6" t="inlineStr">
        <is>
          <t>K2 (40%)</t>
        </is>
      </c>
      <c r="F3" s="6" t="inlineStr">
        <is>
          <t>K3 (20%)</t>
        </is>
      </c>
      <c r="G3" s="6" t="inlineStr">
        <is>
          <t>Cum kits</t>
        </is>
      </c>
    </row>
    <row r="4">
      <c r="A4" s="8" t="n">
        <v>1</v>
      </c>
      <c r="B4" s="8" t="n">
        <v>1</v>
      </c>
      <c r="C4" s="8" t="n">
        <v>24</v>
      </c>
      <c r="D4" s="8" t="n">
        <v>10</v>
      </c>
      <c r="E4" s="8" t="n">
        <v>10</v>
      </c>
      <c r="F4" s="8" t="n">
        <v>5</v>
      </c>
      <c r="G4" s="8" t="n">
        <v>24</v>
      </c>
    </row>
    <row r="5">
      <c r="A5" s="8" t="n">
        <v>2</v>
      </c>
      <c r="B5" s="8" t="n">
        <v>1</v>
      </c>
      <c r="C5" s="8" t="n">
        <v>42</v>
      </c>
      <c r="D5" s="8" t="n">
        <v>17</v>
      </c>
      <c r="E5" s="8" t="n">
        <v>17</v>
      </c>
      <c r="F5" s="8" t="n">
        <v>8</v>
      </c>
      <c r="G5" s="8" t="n">
        <v>66</v>
      </c>
    </row>
    <row r="6">
      <c r="A6" s="8" t="n">
        <v>3</v>
      </c>
      <c r="B6" s="8" t="n">
        <v>1</v>
      </c>
      <c r="C6" s="8" t="n">
        <v>66</v>
      </c>
      <c r="D6" s="8" t="n">
        <v>26</v>
      </c>
      <c r="E6" s="8" t="n">
        <v>26</v>
      </c>
      <c r="F6" s="8" t="n">
        <v>13</v>
      </c>
      <c r="G6" s="8" t="n">
        <v>132</v>
      </c>
    </row>
    <row r="7">
      <c r="A7" s="8" t="n">
        <v>4</v>
      </c>
      <c r="B7" s="8" t="n">
        <v>1</v>
      </c>
      <c r="C7" s="8" t="n">
        <v>90</v>
      </c>
      <c r="D7" s="8" t="n">
        <v>36</v>
      </c>
      <c r="E7" s="8" t="n">
        <v>36</v>
      </c>
      <c r="F7" s="8" t="n">
        <v>18</v>
      </c>
      <c r="G7" s="8" t="n">
        <v>222</v>
      </c>
    </row>
    <row r="8">
      <c r="A8" s="8" t="n">
        <v>5</v>
      </c>
      <c r="B8" s="8" t="n">
        <v>1</v>
      </c>
      <c r="C8" s="8" t="n">
        <v>108</v>
      </c>
      <c r="D8" s="8" t="n">
        <v>43</v>
      </c>
      <c r="E8" s="8" t="n">
        <v>43</v>
      </c>
      <c r="F8" s="8" t="n">
        <v>22</v>
      </c>
      <c r="G8" s="8" t="n">
        <v>330</v>
      </c>
    </row>
    <row r="9">
      <c r="A9" s="8" t="n">
        <v>6</v>
      </c>
      <c r="B9" s="8" t="n">
        <v>1</v>
      </c>
      <c r="C9" s="8" t="n">
        <v>120</v>
      </c>
      <c r="D9" s="8" t="n">
        <v>48</v>
      </c>
      <c r="E9" s="8" t="n">
        <v>48</v>
      </c>
      <c r="F9" s="8" t="n">
        <v>24</v>
      </c>
      <c r="G9" s="8" t="n">
        <v>450</v>
      </c>
    </row>
    <row r="10">
      <c r="A10" s="8" t="n">
        <v>7</v>
      </c>
      <c r="B10" s="8" t="n">
        <v>1</v>
      </c>
      <c r="C10" s="8" t="n">
        <v>130</v>
      </c>
      <c r="D10" s="8" t="n">
        <v>52</v>
      </c>
      <c r="E10" s="8" t="n">
        <v>52</v>
      </c>
      <c r="F10" s="8" t="n">
        <v>26</v>
      </c>
      <c r="G10" s="8" t="n">
        <v>580</v>
      </c>
    </row>
    <row r="11">
      <c r="A11" s="8" t="n">
        <v>8</v>
      </c>
      <c r="B11" s="8" t="n">
        <v>1</v>
      </c>
      <c r="C11" s="8" t="n">
        <v>140</v>
      </c>
      <c r="D11" s="8" t="n">
        <v>56</v>
      </c>
      <c r="E11" s="8" t="n">
        <v>56</v>
      </c>
      <c r="F11" s="8" t="n">
        <v>28</v>
      </c>
      <c r="G11" s="8" t="n">
        <v>720</v>
      </c>
    </row>
    <row r="12">
      <c r="A12" s="8" t="n">
        <v>9</v>
      </c>
      <c r="B12" s="8" t="n">
        <v>1</v>
      </c>
      <c r="C12" s="8" t="n">
        <v>150</v>
      </c>
      <c r="D12" s="8" t="n">
        <v>60</v>
      </c>
      <c r="E12" s="8" t="n">
        <v>60</v>
      </c>
      <c r="F12" s="8" t="n">
        <v>30</v>
      </c>
      <c r="G12" s="8" t="n">
        <v>870</v>
      </c>
    </row>
    <row r="13">
      <c r="A13" s="8" t="n">
        <v>10</v>
      </c>
      <c r="B13" s="8" t="n">
        <v>1</v>
      </c>
      <c r="C13" s="8" t="n">
        <v>160</v>
      </c>
      <c r="D13" s="8" t="n">
        <v>64</v>
      </c>
      <c r="E13" s="8" t="n">
        <v>64</v>
      </c>
      <c r="F13" s="8" t="n">
        <v>32</v>
      </c>
      <c r="G13" s="8" t="n">
        <v>1030</v>
      </c>
    </row>
    <row r="14">
      <c r="A14" s="8" t="n">
        <v>11</v>
      </c>
      <c r="B14" s="8" t="n">
        <v>1</v>
      </c>
      <c r="C14" s="8" t="n">
        <v>170</v>
      </c>
      <c r="D14" s="8" t="n">
        <v>68</v>
      </c>
      <c r="E14" s="8" t="n">
        <v>68</v>
      </c>
      <c r="F14" s="8" t="n">
        <v>34</v>
      </c>
      <c r="G14" s="8" t="n">
        <v>1200</v>
      </c>
    </row>
    <row r="15">
      <c r="A15" s="8" t="n">
        <v>12</v>
      </c>
      <c r="B15" s="8" t="n">
        <v>1</v>
      </c>
      <c r="C15" s="8" t="n">
        <v>180</v>
      </c>
      <c r="D15" s="8" t="n">
        <v>72</v>
      </c>
      <c r="E15" s="8" t="n">
        <v>72</v>
      </c>
      <c r="F15" s="8" t="n">
        <v>36</v>
      </c>
      <c r="G15" s="8" t="n">
        <v>1380</v>
      </c>
    </row>
    <row r="16">
      <c r="A16" s="8" t="n">
        <v>13</v>
      </c>
      <c r="B16" s="8" t="n">
        <v>2</v>
      </c>
      <c r="C16" s="8" t="n">
        <v>193</v>
      </c>
      <c r="D16" s="8" t="n">
        <v>77</v>
      </c>
      <c r="E16" s="8" t="n">
        <v>77</v>
      </c>
      <c r="F16" s="8" t="n">
        <v>39</v>
      </c>
      <c r="G16" s="8" t="n">
        <v>1573</v>
      </c>
    </row>
    <row r="17">
      <c r="A17" s="8" t="n">
        <v>14</v>
      </c>
      <c r="B17" s="8" t="n">
        <v>2</v>
      </c>
      <c r="C17" s="8" t="n">
        <v>207</v>
      </c>
      <c r="D17" s="8" t="n">
        <v>83</v>
      </c>
      <c r="E17" s="8" t="n">
        <v>83</v>
      </c>
      <c r="F17" s="8" t="n">
        <v>41</v>
      </c>
      <c r="G17" s="8" t="n">
        <v>1780</v>
      </c>
    </row>
    <row r="18">
      <c r="A18" s="8" t="n">
        <v>15</v>
      </c>
      <c r="B18" s="8" t="n">
        <v>2</v>
      </c>
      <c r="C18" s="8" t="n">
        <v>220</v>
      </c>
      <c r="D18" s="8" t="n">
        <v>88</v>
      </c>
      <c r="E18" s="8" t="n">
        <v>88</v>
      </c>
      <c r="F18" s="8" t="n">
        <v>44</v>
      </c>
      <c r="G18" s="8" t="n">
        <v>2000</v>
      </c>
    </row>
    <row r="19">
      <c r="A19" s="8" t="n">
        <v>16</v>
      </c>
      <c r="B19" s="8" t="n">
        <v>2</v>
      </c>
      <c r="C19" s="8" t="n">
        <v>233</v>
      </c>
      <c r="D19" s="8" t="n">
        <v>93</v>
      </c>
      <c r="E19" s="8" t="n">
        <v>93</v>
      </c>
      <c r="F19" s="8" t="n">
        <v>47</v>
      </c>
      <c r="G19" s="8" t="n">
        <v>2233</v>
      </c>
    </row>
    <row r="20">
      <c r="A20" s="8" t="n">
        <v>17</v>
      </c>
      <c r="B20" s="8" t="n">
        <v>2</v>
      </c>
      <c r="C20" s="8" t="n">
        <v>247</v>
      </c>
      <c r="D20" s="8" t="n">
        <v>99</v>
      </c>
      <c r="E20" s="8" t="n">
        <v>99</v>
      </c>
      <c r="F20" s="8" t="n">
        <v>49</v>
      </c>
      <c r="G20" s="8" t="n">
        <v>2480</v>
      </c>
    </row>
    <row r="21">
      <c r="A21" s="8" t="n">
        <v>18</v>
      </c>
      <c r="B21" s="8" t="n">
        <v>2</v>
      </c>
      <c r="C21" s="8" t="n">
        <v>260</v>
      </c>
      <c r="D21" s="8" t="n">
        <v>104</v>
      </c>
      <c r="E21" s="8" t="n">
        <v>104</v>
      </c>
      <c r="F21" s="8" t="n">
        <v>52</v>
      </c>
      <c r="G21" s="8" t="n">
        <v>2740</v>
      </c>
    </row>
    <row r="22">
      <c r="A22" s="8" t="n">
        <v>19</v>
      </c>
      <c r="B22" s="8" t="n">
        <v>2</v>
      </c>
      <c r="C22" s="8" t="n">
        <v>273</v>
      </c>
      <c r="D22" s="8" t="n">
        <v>109</v>
      </c>
      <c r="E22" s="8" t="n">
        <v>109</v>
      </c>
      <c r="F22" s="8" t="n">
        <v>55</v>
      </c>
      <c r="G22" s="8" t="n">
        <v>3013</v>
      </c>
    </row>
    <row r="23">
      <c r="A23" s="8" t="n">
        <v>20</v>
      </c>
      <c r="B23" s="8" t="n">
        <v>2</v>
      </c>
      <c r="C23" s="8" t="n">
        <v>287</v>
      </c>
      <c r="D23" s="8" t="n">
        <v>115</v>
      </c>
      <c r="E23" s="8" t="n">
        <v>115</v>
      </c>
      <c r="F23" s="8" t="n">
        <v>57</v>
      </c>
      <c r="G23" s="8" t="n">
        <v>3300</v>
      </c>
    </row>
    <row r="24">
      <c r="A24" s="8" t="n">
        <v>21</v>
      </c>
      <c r="B24" s="8" t="n">
        <v>2</v>
      </c>
      <c r="C24" s="8" t="n">
        <v>300</v>
      </c>
      <c r="D24" s="8" t="n">
        <v>120</v>
      </c>
      <c r="E24" s="8" t="n">
        <v>120</v>
      </c>
      <c r="F24" s="8" t="n">
        <v>60</v>
      </c>
      <c r="G24" s="8" t="n">
        <v>3600</v>
      </c>
    </row>
    <row r="25">
      <c r="A25" s="8" t="n">
        <v>22</v>
      </c>
      <c r="B25" s="8" t="n">
        <v>2</v>
      </c>
      <c r="C25" s="8" t="n">
        <v>313</v>
      </c>
      <c r="D25" s="8" t="n">
        <v>125</v>
      </c>
      <c r="E25" s="8" t="n">
        <v>125</v>
      </c>
      <c r="F25" s="8" t="n">
        <v>63</v>
      </c>
      <c r="G25" s="8" t="n">
        <v>3913</v>
      </c>
    </row>
    <row r="26">
      <c r="A26" s="8" t="n">
        <v>23</v>
      </c>
      <c r="B26" s="8" t="n">
        <v>2</v>
      </c>
      <c r="C26" s="8" t="n">
        <v>327</v>
      </c>
      <c r="D26" s="8" t="n">
        <v>131</v>
      </c>
      <c r="E26" s="8" t="n">
        <v>131</v>
      </c>
      <c r="F26" s="8" t="n">
        <v>65</v>
      </c>
      <c r="G26" s="8" t="n">
        <v>4240</v>
      </c>
    </row>
    <row r="27">
      <c r="A27" s="8" t="n">
        <v>24</v>
      </c>
      <c r="B27" s="8" t="n">
        <v>2</v>
      </c>
      <c r="C27" s="8" t="n">
        <v>340</v>
      </c>
      <c r="D27" s="8" t="n">
        <v>136</v>
      </c>
      <c r="E27" s="8" t="n">
        <v>136</v>
      </c>
      <c r="F27" s="8" t="n">
        <v>68</v>
      </c>
      <c r="G27" s="8" t="n">
        <v>4580</v>
      </c>
    </row>
    <row r="28">
      <c r="A28" s="8" t="n">
        <v>25</v>
      </c>
      <c r="B28" s="8" t="n">
        <v>3</v>
      </c>
      <c r="C28" s="8" t="n">
        <v>353</v>
      </c>
      <c r="D28" s="8" t="n">
        <v>141</v>
      </c>
      <c r="E28" s="8" t="n">
        <v>141</v>
      </c>
      <c r="F28" s="8" t="n">
        <v>71</v>
      </c>
      <c r="G28" s="8" t="n">
        <v>4933</v>
      </c>
    </row>
    <row r="29">
      <c r="A29" s="8" t="n">
        <v>26</v>
      </c>
      <c r="B29" s="8" t="n">
        <v>3</v>
      </c>
      <c r="C29" s="8" t="n">
        <v>367</v>
      </c>
      <c r="D29" s="8" t="n">
        <v>147</v>
      </c>
      <c r="E29" s="8" t="n">
        <v>147</v>
      </c>
      <c r="F29" s="8" t="n">
        <v>73</v>
      </c>
      <c r="G29" s="8" t="n">
        <v>5300</v>
      </c>
    </row>
    <row r="30">
      <c r="A30" s="8" t="n">
        <v>27</v>
      </c>
      <c r="B30" s="8" t="n">
        <v>3</v>
      </c>
      <c r="C30" s="8" t="n">
        <v>380</v>
      </c>
      <c r="D30" s="8" t="n">
        <v>152</v>
      </c>
      <c r="E30" s="8" t="n">
        <v>152</v>
      </c>
      <c r="F30" s="8" t="n">
        <v>76</v>
      </c>
      <c r="G30" s="8" t="n">
        <v>5680</v>
      </c>
    </row>
    <row r="31">
      <c r="A31" s="8" t="n">
        <v>28</v>
      </c>
      <c r="B31" s="8" t="n">
        <v>3</v>
      </c>
      <c r="C31" s="8" t="n">
        <v>393</v>
      </c>
      <c r="D31" s="8" t="n">
        <v>157</v>
      </c>
      <c r="E31" s="8" t="n">
        <v>157</v>
      </c>
      <c r="F31" s="8" t="n">
        <v>79</v>
      </c>
      <c r="G31" s="8" t="n">
        <v>6073</v>
      </c>
    </row>
    <row r="32">
      <c r="A32" s="8" t="n">
        <v>29</v>
      </c>
      <c r="B32" s="8" t="n">
        <v>3</v>
      </c>
      <c r="C32" s="8" t="n">
        <v>407</v>
      </c>
      <c r="D32" s="8" t="n">
        <v>163</v>
      </c>
      <c r="E32" s="8" t="n">
        <v>163</v>
      </c>
      <c r="F32" s="8" t="n">
        <v>81</v>
      </c>
      <c r="G32" s="8" t="n">
        <v>6480</v>
      </c>
    </row>
    <row r="33">
      <c r="A33" s="8" t="n">
        <v>30</v>
      </c>
      <c r="B33" s="8" t="n">
        <v>3</v>
      </c>
      <c r="C33" s="8" t="n">
        <v>420</v>
      </c>
      <c r="D33" s="8" t="n">
        <v>168</v>
      </c>
      <c r="E33" s="8" t="n">
        <v>168</v>
      </c>
      <c r="F33" s="8" t="n">
        <v>84</v>
      </c>
      <c r="G33" s="8" t="n">
        <v>6900</v>
      </c>
    </row>
    <row r="34">
      <c r="A34" s="8" t="n">
        <v>31</v>
      </c>
      <c r="B34" s="8" t="n">
        <v>3</v>
      </c>
      <c r="C34" s="8" t="n">
        <v>433</v>
      </c>
      <c r="D34" s="8" t="n">
        <v>173</v>
      </c>
      <c r="E34" s="8" t="n">
        <v>173</v>
      </c>
      <c r="F34" s="8" t="n">
        <v>87</v>
      </c>
      <c r="G34" s="8" t="n">
        <v>7333</v>
      </c>
    </row>
    <row r="35">
      <c r="A35" s="8" t="n">
        <v>32</v>
      </c>
      <c r="B35" s="8" t="n">
        <v>3</v>
      </c>
      <c r="C35" s="8" t="n">
        <v>447</v>
      </c>
      <c r="D35" s="8" t="n">
        <v>179</v>
      </c>
      <c r="E35" s="8" t="n">
        <v>179</v>
      </c>
      <c r="F35" s="8" t="n">
        <v>89</v>
      </c>
      <c r="G35" s="8" t="n">
        <v>7780</v>
      </c>
    </row>
    <row r="36">
      <c r="A36" s="8" t="n">
        <v>33</v>
      </c>
      <c r="B36" s="8" t="n">
        <v>3</v>
      </c>
      <c r="C36" s="8" t="n">
        <v>460</v>
      </c>
      <c r="D36" s="8" t="n">
        <v>184</v>
      </c>
      <c r="E36" s="8" t="n">
        <v>184</v>
      </c>
      <c r="F36" s="8" t="n">
        <v>92</v>
      </c>
      <c r="G36" s="8" t="n">
        <v>8240</v>
      </c>
    </row>
    <row r="37">
      <c r="A37" s="8" t="n">
        <v>34</v>
      </c>
      <c r="B37" s="8" t="n">
        <v>3</v>
      </c>
      <c r="C37" s="8" t="n">
        <v>473</v>
      </c>
      <c r="D37" s="8" t="n">
        <v>189</v>
      </c>
      <c r="E37" s="8" t="n">
        <v>189</v>
      </c>
      <c r="F37" s="8" t="n">
        <v>95</v>
      </c>
      <c r="G37" s="8" t="n">
        <v>8713</v>
      </c>
    </row>
    <row r="38">
      <c r="A38" s="8" t="n">
        <v>35</v>
      </c>
      <c r="B38" s="8" t="n">
        <v>3</v>
      </c>
      <c r="C38" s="8" t="n">
        <v>487</v>
      </c>
      <c r="D38" s="8" t="n">
        <v>195</v>
      </c>
      <c r="E38" s="8" t="n">
        <v>195</v>
      </c>
      <c r="F38" s="8" t="n">
        <v>97</v>
      </c>
      <c r="G38" s="8" t="n">
        <v>9200</v>
      </c>
    </row>
    <row r="39">
      <c r="A39" s="8" t="n">
        <v>36</v>
      </c>
      <c r="B39" s="8" t="n">
        <v>3</v>
      </c>
      <c r="C39" s="8" t="n">
        <v>500</v>
      </c>
      <c r="D39" s="8" t="n">
        <v>200</v>
      </c>
      <c r="E39" s="8" t="n">
        <v>200</v>
      </c>
      <c r="F39" s="8" t="n">
        <v>100</v>
      </c>
      <c r="G39" s="8" t="n">
        <v>9700</v>
      </c>
    </row>
    <row r="40">
      <c r="A40" s="9" t="inlineStr">
        <is>
          <t>Y1 total</t>
        </is>
      </c>
      <c r="B40" s="9" t="inlineStr"/>
      <c r="C40" s="10" t="n">
        <v>1380</v>
      </c>
      <c r="D40" s="10" t="n">
        <v>552</v>
      </c>
      <c r="E40" s="10" t="n">
        <v>552</v>
      </c>
      <c r="F40" s="10" t="n">
        <v>276</v>
      </c>
      <c r="G40" s="9" t="inlineStr"/>
    </row>
    <row r="41">
      <c r="A41" s="9" t="inlineStr">
        <is>
          <t>Y2 total</t>
        </is>
      </c>
      <c r="B41" s="9" t="inlineStr"/>
      <c r="C41" s="10" t="n">
        <v>3200</v>
      </c>
      <c r="D41" s="10" t="n">
        <v>1280</v>
      </c>
      <c r="E41" s="10" t="n">
        <v>1280</v>
      </c>
      <c r="F41" s="10" t="n">
        <v>640</v>
      </c>
      <c r="G41" s="9" t="inlineStr"/>
    </row>
    <row r="42">
      <c r="A42" s="9" t="inlineStr">
        <is>
          <t>Y3 total</t>
        </is>
      </c>
      <c r="B42" s="9" t="inlineStr"/>
      <c r="C42" s="10" t="n">
        <v>5120</v>
      </c>
      <c r="D42" s="10" t="n">
        <v>2048</v>
      </c>
      <c r="E42" s="10" t="n">
        <v>2048</v>
      </c>
      <c r="F42" s="10" t="n">
        <v>1024</v>
      </c>
      <c r="G42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6" customWidth="1" min="7" max="7"/>
    <col width="17" customWidth="1" min="8" max="8"/>
  </cols>
  <sheetData>
    <row r="1">
      <c r="A1" s="5" t="inlineStr">
        <is>
          <t>Tier Populations — Base / Opt / Perf — monthly</t>
        </is>
      </c>
    </row>
    <row r="2"/>
    <row r="3">
      <c r="A3" s="11" t="inlineStr">
        <is>
          <t>PASS case (v2 launches M12, post-v2 transition rates kick in M12+)</t>
        </is>
      </c>
    </row>
    <row r="4">
      <c r="A4" s="6" t="inlineStr">
        <is>
          <t>Month</t>
        </is>
      </c>
      <c r="B4" s="6" t="inlineStr">
        <is>
          <t>Year</t>
        </is>
      </c>
      <c r="C4" s="6" t="inlineStr">
        <is>
          <t>New</t>
        </is>
      </c>
      <c r="D4" s="6" t="inlineStr">
        <is>
          <t>Base</t>
        </is>
      </c>
      <c r="E4" s="6" t="inlineStr">
        <is>
          <t>Opt</t>
        </is>
      </c>
      <c r="F4" s="6" t="inlineStr">
        <is>
          <t>Perf</t>
        </is>
      </c>
      <c r="G4" s="6" t="inlineStr">
        <is>
          <t>Perf-&gt;Clinical (this mo)</t>
        </is>
      </c>
      <c r="H4" s="6" t="inlineStr">
        <is>
          <t>Total AP active</t>
        </is>
      </c>
    </row>
    <row r="5">
      <c r="A5" s="8" t="n">
        <v>1</v>
      </c>
      <c r="B5" s="8" t="n">
        <v>1</v>
      </c>
      <c r="C5" s="8" t="n">
        <v>24</v>
      </c>
      <c r="D5" s="8" t="n">
        <v>24</v>
      </c>
      <c r="E5" s="8" t="n">
        <v>0</v>
      </c>
      <c r="F5" s="8" t="n">
        <v>0</v>
      </c>
      <c r="G5" s="8" t="n">
        <v>0</v>
      </c>
      <c r="H5" s="8" t="n">
        <v>24</v>
      </c>
    </row>
    <row r="6">
      <c r="A6" s="8" t="n">
        <v>2</v>
      </c>
      <c r="B6" s="8" t="n">
        <v>1</v>
      </c>
      <c r="C6" s="8" t="n">
        <v>42</v>
      </c>
      <c r="D6" s="8" t="n">
        <v>65</v>
      </c>
      <c r="E6" s="8" t="n">
        <v>0</v>
      </c>
      <c r="F6" s="8" t="n">
        <v>0</v>
      </c>
      <c r="G6" s="8" t="n">
        <v>0</v>
      </c>
      <c r="H6" s="8" t="n">
        <v>66</v>
      </c>
    </row>
    <row r="7">
      <c r="A7" s="8" t="n">
        <v>3</v>
      </c>
      <c r="B7" s="8" t="n">
        <v>1</v>
      </c>
      <c r="C7" s="8" t="n">
        <v>66</v>
      </c>
      <c r="D7" s="8" t="n">
        <v>128</v>
      </c>
      <c r="E7" s="8" t="n">
        <v>2</v>
      </c>
      <c r="F7" s="8" t="n">
        <v>0</v>
      </c>
      <c r="G7" s="8" t="n">
        <v>0</v>
      </c>
      <c r="H7" s="8" t="n">
        <v>130</v>
      </c>
    </row>
    <row r="8">
      <c r="A8" s="8" t="n">
        <v>4</v>
      </c>
      <c r="B8" s="8" t="n">
        <v>1</v>
      </c>
      <c r="C8" s="8" t="n">
        <v>90</v>
      </c>
      <c r="D8" s="8" t="n">
        <v>186</v>
      </c>
      <c r="E8" s="8" t="n">
        <v>31</v>
      </c>
      <c r="F8" s="8" t="n">
        <v>0</v>
      </c>
      <c r="G8" s="8" t="n">
        <v>0</v>
      </c>
      <c r="H8" s="8" t="n">
        <v>218</v>
      </c>
    </row>
    <row r="9">
      <c r="A9" s="8" t="n">
        <v>5</v>
      </c>
      <c r="B9" s="8" t="n">
        <v>1</v>
      </c>
      <c r="C9" s="8" t="n">
        <v>108</v>
      </c>
      <c r="D9" s="8" t="n">
        <v>255</v>
      </c>
      <c r="E9" s="8" t="n">
        <v>66</v>
      </c>
      <c r="F9" s="8" t="n">
        <v>0</v>
      </c>
      <c r="G9" s="8" t="n">
        <v>0</v>
      </c>
      <c r="H9" s="8" t="n">
        <v>321</v>
      </c>
    </row>
    <row r="10">
      <c r="A10" s="8" t="n">
        <v>6</v>
      </c>
      <c r="B10" s="8" t="n">
        <v>1</v>
      </c>
      <c r="C10" s="8" t="n">
        <v>120</v>
      </c>
      <c r="D10" s="8" t="n">
        <v>329</v>
      </c>
      <c r="E10" s="8" t="n">
        <v>105</v>
      </c>
      <c r="F10" s="8" t="n">
        <v>1</v>
      </c>
      <c r="G10" s="8" t="n">
        <v>0</v>
      </c>
      <c r="H10" s="8" t="n">
        <v>435</v>
      </c>
    </row>
    <row r="11">
      <c r="A11" s="8" t="n">
        <v>7</v>
      </c>
      <c r="B11" s="8" t="n">
        <v>1</v>
      </c>
      <c r="C11" s="8" t="n">
        <v>130</v>
      </c>
      <c r="D11" s="8" t="n">
        <v>407</v>
      </c>
      <c r="E11" s="8" t="n">
        <v>147</v>
      </c>
      <c r="F11" s="8" t="n">
        <v>3</v>
      </c>
      <c r="G11" s="8" t="n">
        <v>0</v>
      </c>
      <c r="H11" s="8" t="n">
        <v>556</v>
      </c>
    </row>
    <row r="12">
      <c r="A12" s="8" t="n">
        <v>8</v>
      </c>
      <c r="B12" s="8" t="n">
        <v>1</v>
      </c>
      <c r="C12" s="8" t="n">
        <v>140</v>
      </c>
      <c r="D12" s="8" t="n">
        <v>488</v>
      </c>
      <c r="E12" s="8" t="n">
        <v>192</v>
      </c>
      <c r="F12" s="8" t="n">
        <v>5</v>
      </c>
      <c r="G12" s="8" t="n">
        <v>0</v>
      </c>
      <c r="H12" s="8" t="n">
        <v>685</v>
      </c>
    </row>
    <row r="13">
      <c r="A13" s="8" t="n">
        <v>9</v>
      </c>
      <c r="B13" s="8" t="n">
        <v>1</v>
      </c>
      <c r="C13" s="8" t="n">
        <v>150</v>
      </c>
      <c r="D13" s="8" t="n">
        <v>574</v>
      </c>
      <c r="E13" s="8" t="n">
        <v>239</v>
      </c>
      <c r="F13" s="8" t="n">
        <v>8</v>
      </c>
      <c r="G13" s="8" t="n">
        <v>0</v>
      </c>
      <c r="H13" s="8" t="n">
        <v>821</v>
      </c>
    </row>
    <row r="14">
      <c r="A14" s="8" t="n">
        <v>10</v>
      </c>
      <c r="B14" s="8" t="n">
        <v>1</v>
      </c>
      <c r="C14" s="8" t="n">
        <v>160</v>
      </c>
      <c r="D14" s="8" t="n">
        <v>663</v>
      </c>
      <c r="E14" s="8" t="n">
        <v>290</v>
      </c>
      <c r="F14" s="8" t="n">
        <v>11</v>
      </c>
      <c r="G14" s="8" t="n">
        <v>0</v>
      </c>
      <c r="H14" s="8" t="n">
        <v>965</v>
      </c>
    </row>
    <row r="15">
      <c r="A15" s="8" t="n">
        <v>11</v>
      </c>
      <c r="B15" s="8" t="n">
        <v>1</v>
      </c>
      <c r="C15" s="8" t="n">
        <v>170</v>
      </c>
      <c r="D15" s="8" t="n">
        <v>756</v>
      </c>
      <c r="E15" s="8" t="n">
        <v>344</v>
      </c>
      <c r="F15" s="8" t="n">
        <v>15</v>
      </c>
      <c r="G15" s="8" t="n">
        <v>0</v>
      </c>
      <c r="H15" s="8" t="n">
        <v>1116</v>
      </c>
    </row>
    <row r="16">
      <c r="A16" s="8" t="n">
        <v>12</v>
      </c>
      <c r="B16" s="8" t="n">
        <v>1</v>
      </c>
      <c r="C16" s="8" t="n">
        <v>180</v>
      </c>
      <c r="D16" s="8" t="n">
        <v>845</v>
      </c>
      <c r="E16" s="8" t="n">
        <v>405</v>
      </c>
      <c r="F16" s="8" t="n">
        <v>23</v>
      </c>
      <c r="G16" s="8" t="n">
        <v>0</v>
      </c>
      <c r="H16" s="8" t="n">
        <v>1273</v>
      </c>
    </row>
    <row r="17">
      <c r="A17" s="8" t="n">
        <v>13</v>
      </c>
      <c r="B17" s="8" t="n">
        <v>2</v>
      </c>
      <c r="C17" s="8" t="n">
        <v>193</v>
      </c>
      <c r="D17" s="8" t="n">
        <v>938</v>
      </c>
      <c r="E17" s="8" t="n">
        <v>470</v>
      </c>
      <c r="F17" s="8" t="n">
        <v>31</v>
      </c>
      <c r="G17" s="8" t="n">
        <v>1.3</v>
      </c>
      <c r="H17" s="8" t="n">
        <v>1439</v>
      </c>
    </row>
    <row r="18">
      <c r="A18" s="8" t="n">
        <v>14</v>
      </c>
      <c r="B18" s="8" t="n">
        <v>2</v>
      </c>
      <c r="C18" s="8" t="n">
        <v>207</v>
      </c>
      <c r="D18" s="8" t="n">
        <v>1037</v>
      </c>
      <c r="E18" s="8" t="n">
        <v>539</v>
      </c>
      <c r="F18" s="8" t="n">
        <v>41</v>
      </c>
      <c r="G18" s="8" t="n">
        <v>1.7</v>
      </c>
      <c r="H18" s="8" t="n">
        <v>1616</v>
      </c>
    </row>
    <row r="19">
      <c r="A19" s="8" t="n">
        <v>15</v>
      </c>
      <c r="B19" s="8" t="n">
        <v>2</v>
      </c>
      <c r="C19" s="8" t="n">
        <v>220</v>
      </c>
      <c r="D19" s="8" t="n">
        <v>1139</v>
      </c>
      <c r="E19" s="8" t="n">
        <v>611</v>
      </c>
      <c r="F19" s="8" t="n">
        <v>51</v>
      </c>
      <c r="G19" s="8" t="n">
        <v>2.1</v>
      </c>
      <c r="H19" s="8" t="n">
        <v>1802</v>
      </c>
    </row>
    <row r="20">
      <c r="A20" s="8" t="n">
        <v>16</v>
      </c>
      <c r="B20" s="8" t="n">
        <v>2</v>
      </c>
      <c r="C20" s="8" t="n">
        <v>233</v>
      </c>
      <c r="D20" s="8" t="n">
        <v>1246</v>
      </c>
      <c r="E20" s="8" t="n">
        <v>687</v>
      </c>
      <c r="F20" s="8" t="n">
        <v>62</v>
      </c>
      <c r="G20" s="8" t="n">
        <v>2.6</v>
      </c>
      <c r="H20" s="8" t="n">
        <v>1996</v>
      </c>
    </row>
    <row r="21">
      <c r="A21" s="8" t="n">
        <v>17</v>
      </c>
      <c r="B21" s="8" t="n">
        <v>2</v>
      </c>
      <c r="C21" s="8" t="n">
        <v>247</v>
      </c>
      <c r="D21" s="8" t="n">
        <v>1358</v>
      </c>
      <c r="E21" s="8" t="n">
        <v>768</v>
      </c>
      <c r="F21" s="8" t="n">
        <v>75</v>
      </c>
      <c r="G21" s="8" t="n">
        <v>3.1</v>
      </c>
      <c r="H21" s="8" t="n">
        <v>2200</v>
      </c>
    </row>
    <row r="22">
      <c r="A22" s="8" t="n">
        <v>18</v>
      </c>
      <c r="B22" s="8" t="n">
        <v>2</v>
      </c>
      <c r="C22" s="8" t="n">
        <v>260</v>
      </c>
      <c r="D22" s="8" t="n">
        <v>1473</v>
      </c>
      <c r="E22" s="8" t="n">
        <v>851</v>
      </c>
      <c r="F22" s="8" t="n">
        <v>88</v>
      </c>
      <c r="G22" s="8" t="n">
        <v>3.7</v>
      </c>
      <c r="H22" s="8" t="n">
        <v>2412</v>
      </c>
    </row>
    <row r="23">
      <c r="A23" s="8" t="n">
        <v>19</v>
      </c>
      <c r="B23" s="8" t="n">
        <v>2</v>
      </c>
      <c r="C23" s="8" t="n">
        <v>273</v>
      </c>
      <c r="D23" s="8" t="n">
        <v>1591</v>
      </c>
      <c r="E23" s="8" t="n">
        <v>939</v>
      </c>
      <c r="F23" s="8" t="n">
        <v>103</v>
      </c>
      <c r="G23" s="8" t="n">
        <v>4.3</v>
      </c>
      <c r="H23" s="8" t="n">
        <v>2633</v>
      </c>
    </row>
    <row r="24">
      <c r="A24" s="8" t="n">
        <v>20</v>
      </c>
      <c r="B24" s="8" t="n">
        <v>2</v>
      </c>
      <c r="C24" s="8" t="n">
        <v>287</v>
      </c>
      <c r="D24" s="8" t="n">
        <v>1713</v>
      </c>
      <c r="E24" s="8" t="n">
        <v>1030</v>
      </c>
      <c r="F24" s="8" t="n">
        <v>119</v>
      </c>
      <c r="G24" s="8" t="n">
        <v>5</v>
      </c>
      <c r="H24" s="8" t="n">
        <v>2862</v>
      </c>
    </row>
    <row r="25">
      <c r="A25" s="8" t="n">
        <v>21</v>
      </c>
      <c r="B25" s="8" t="n">
        <v>2</v>
      </c>
      <c r="C25" s="8" t="n">
        <v>300</v>
      </c>
      <c r="D25" s="8" t="n">
        <v>1839</v>
      </c>
      <c r="E25" s="8" t="n">
        <v>1124</v>
      </c>
      <c r="F25" s="8" t="n">
        <v>136</v>
      </c>
      <c r="G25" s="8" t="n">
        <v>5.7</v>
      </c>
      <c r="H25" s="8" t="n">
        <v>3099</v>
      </c>
    </row>
    <row r="26">
      <c r="A26" s="8" t="n">
        <v>22</v>
      </c>
      <c r="B26" s="8" t="n">
        <v>2</v>
      </c>
      <c r="C26" s="8" t="n">
        <v>313</v>
      </c>
      <c r="D26" s="8" t="n">
        <v>1967</v>
      </c>
      <c r="E26" s="8" t="n">
        <v>1222</v>
      </c>
      <c r="F26" s="8" t="n">
        <v>155</v>
      </c>
      <c r="G26" s="8" t="n">
        <v>6.4</v>
      </c>
      <c r="H26" s="8" t="n">
        <v>3344</v>
      </c>
    </row>
    <row r="27">
      <c r="A27" s="8" t="n">
        <v>23</v>
      </c>
      <c r="B27" s="8" t="n">
        <v>2</v>
      </c>
      <c r="C27" s="8" t="n">
        <v>327</v>
      </c>
      <c r="D27" s="8" t="n">
        <v>2099</v>
      </c>
      <c r="E27" s="8" t="n">
        <v>1324</v>
      </c>
      <c r="F27" s="8" t="n">
        <v>174</v>
      </c>
      <c r="G27" s="8" t="n">
        <v>7.3</v>
      </c>
      <c r="H27" s="8" t="n">
        <v>3597</v>
      </c>
    </row>
    <row r="28">
      <c r="A28" s="8" t="n">
        <v>24</v>
      </c>
      <c r="B28" s="8" t="n">
        <v>2</v>
      </c>
      <c r="C28" s="8" t="n">
        <v>340</v>
      </c>
      <c r="D28" s="8" t="n">
        <v>2233</v>
      </c>
      <c r="E28" s="8" t="n">
        <v>1429</v>
      </c>
      <c r="F28" s="8" t="n">
        <v>195</v>
      </c>
      <c r="G28" s="8" t="n">
        <v>8.1</v>
      </c>
      <c r="H28" s="8" t="n">
        <v>3857</v>
      </c>
    </row>
    <row r="29">
      <c r="A29" s="8" t="n">
        <v>25</v>
      </c>
      <c r="B29" s="8" t="n">
        <v>3</v>
      </c>
      <c r="C29" s="8" t="n">
        <v>353</v>
      </c>
      <c r="D29" s="8" t="n">
        <v>2370</v>
      </c>
      <c r="E29" s="8" t="n">
        <v>1537</v>
      </c>
      <c r="F29" s="8" t="n">
        <v>217</v>
      </c>
      <c r="G29" s="8" t="n">
        <v>9</v>
      </c>
      <c r="H29" s="8" t="n">
        <v>4123</v>
      </c>
    </row>
    <row r="30">
      <c r="A30" s="8" t="n">
        <v>26</v>
      </c>
      <c r="B30" s="8" t="n">
        <v>3</v>
      </c>
      <c r="C30" s="8" t="n">
        <v>367</v>
      </c>
      <c r="D30" s="8" t="n">
        <v>2510</v>
      </c>
      <c r="E30" s="8" t="n">
        <v>1648</v>
      </c>
      <c r="F30" s="8" t="n">
        <v>240</v>
      </c>
      <c r="G30" s="8" t="n">
        <v>10</v>
      </c>
      <c r="H30" s="8" t="n">
        <v>4398</v>
      </c>
    </row>
    <row r="31">
      <c r="A31" s="8" t="n">
        <v>27</v>
      </c>
      <c r="B31" s="8" t="n">
        <v>3</v>
      </c>
      <c r="C31" s="8" t="n">
        <v>380</v>
      </c>
      <c r="D31" s="8" t="n">
        <v>2652</v>
      </c>
      <c r="E31" s="8" t="n">
        <v>1762</v>
      </c>
      <c r="F31" s="8" t="n">
        <v>265</v>
      </c>
      <c r="G31" s="8" t="n">
        <v>11</v>
      </c>
      <c r="H31" s="8" t="n">
        <v>4679</v>
      </c>
    </row>
    <row r="32">
      <c r="A32" s="8" t="n">
        <v>28</v>
      </c>
      <c r="B32" s="8" t="n">
        <v>3</v>
      </c>
      <c r="C32" s="8" t="n">
        <v>393</v>
      </c>
      <c r="D32" s="8" t="n">
        <v>2796</v>
      </c>
      <c r="E32" s="8" t="n">
        <v>1880</v>
      </c>
      <c r="F32" s="8" t="n">
        <v>291</v>
      </c>
      <c r="G32" s="8" t="n">
        <v>12.1</v>
      </c>
      <c r="H32" s="8" t="n">
        <v>4966</v>
      </c>
    </row>
    <row r="33">
      <c r="A33" s="8" t="n">
        <v>29</v>
      </c>
      <c r="B33" s="8" t="n">
        <v>3</v>
      </c>
      <c r="C33" s="8" t="n">
        <v>407</v>
      </c>
      <c r="D33" s="8" t="n">
        <v>2942</v>
      </c>
      <c r="E33" s="8" t="n">
        <v>2000</v>
      </c>
      <c r="F33" s="8" t="n">
        <v>318</v>
      </c>
      <c r="G33" s="8" t="n">
        <v>13.2</v>
      </c>
      <c r="H33" s="8" t="n">
        <v>5261</v>
      </c>
    </row>
    <row r="34">
      <c r="A34" s="8" t="n">
        <v>30</v>
      </c>
      <c r="B34" s="8" t="n">
        <v>3</v>
      </c>
      <c r="C34" s="8" t="n">
        <v>420</v>
      </c>
      <c r="D34" s="8" t="n">
        <v>3091</v>
      </c>
      <c r="E34" s="8" t="n">
        <v>2124</v>
      </c>
      <c r="F34" s="8" t="n">
        <v>346</v>
      </c>
      <c r="G34" s="8" t="n">
        <v>14.4</v>
      </c>
      <c r="H34" s="8" t="n">
        <v>5561</v>
      </c>
    </row>
    <row r="35">
      <c r="A35" s="8" t="n">
        <v>31</v>
      </c>
      <c r="B35" s="8" t="n">
        <v>3</v>
      </c>
      <c r="C35" s="8" t="n">
        <v>433</v>
      </c>
      <c r="D35" s="8" t="n">
        <v>3242</v>
      </c>
      <c r="E35" s="8" t="n">
        <v>2250</v>
      </c>
      <c r="F35" s="8" t="n">
        <v>375</v>
      </c>
      <c r="G35" s="8" t="n">
        <v>15.6</v>
      </c>
      <c r="H35" s="8" t="n">
        <v>5867</v>
      </c>
    </row>
    <row r="36">
      <c r="A36" s="8" t="n">
        <v>32</v>
      </c>
      <c r="B36" s="8" t="n">
        <v>3</v>
      </c>
      <c r="C36" s="8" t="n">
        <v>447</v>
      </c>
      <c r="D36" s="8" t="n">
        <v>3394</v>
      </c>
      <c r="E36" s="8" t="n">
        <v>2379</v>
      </c>
      <c r="F36" s="8" t="n">
        <v>406</v>
      </c>
      <c r="G36" s="8" t="n">
        <v>16.9</v>
      </c>
      <c r="H36" s="8" t="n">
        <v>6180</v>
      </c>
    </row>
    <row r="37">
      <c r="A37" s="8" t="n">
        <v>33</v>
      </c>
      <c r="B37" s="8" t="n">
        <v>3</v>
      </c>
      <c r="C37" s="8" t="n">
        <v>460</v>
      </c>
      <c r="D37" s="8" t="n">
        <v>3549</v>
      </c>
      <c r="E37" s="8" t="n">
        <v>2511</v>
      </c>
      <c r="F37" s="8" t="n">
        <v>438</v>
      </c>
      <c r="G37" s="8" t="n">
        <v>18.3</v>
      </c>
      <c r="H37" s="8" t="n">
        <v>6498</v>
      </c>
    </row>
    <row r="38">
      <c r="A38" s="8" t="n">
        <v>34</v>
      </c>
      <c r="B38" s="8" t="n">
        <v>3</v>
      </c>
      <c r="C38" s="8" t="n">
        <v>473</v>
      </c>
      <c r="D38" s="8" t="n">
        <v>3704</v>
      </c>
      <c r="E38" s="8" t="n">
        <v>2646</v>
      </c>
      <c r="F38" s="8" t="n">
        <v>471</v>
      </c>
      <c r="G38" s="8" t="n">
        <v>19.6</v>
      </c>
      <c r="H38" s="8" t="n">
        <v>6821</v>
      </c>
    </row>
    <row r="39">
      <c r="A39" s="8" t="n">
        <v>35</v>
      </c>
      <c r="B39" s="8" t="n">
        <v>3</v>
      </c>
      <c r="C39" s="8" t="n">
        <v>487</v>
      </c>
      <c r="D39" s="8" t="n">
        <v>3862</v>
      </c>
      <c r="E39" s="8" t="n">
        <v>2783</v>
      </c>
      <c r="F39" s="8" t="n">
        <v>506</v>
      </c>
      <c r="G39" s="8" t="n">
        <v>21.1</v>
      </c>
      <c r="H39" s="8" t="n">
        <v>7151</v>
      </c>
    </row>
    <row r="40">
      <c r="A40" s="8" t="n">
        <v>36</v>
      </c>
      <c r="B40" s="8" t="n">
        <v>3</v>
      </c>
      <c r="C40" s="8" t="n">
        <v>500</v>
      </c>
      <c r="D40" s="8" t="n">
        <v>4022</v>
      </c>
      <c r="E40" s="8" t="n">
        <v>2923</v>
      </c>
      <c r="F40" s="8" t="n">
        <v>541</v>
      </c>
      <c r="G40" s="8" t="n">
        <v>22.5</v>
      </c>
      <c r="H40" s="8" t="n">
        <v>7485</v>
      </c>
    </row>
    <row r="41"/>
    <row r="42">
      <c r="A42" s="12" t="inlineStr">
        <is>
          <t>FAIL case (transition rates stay at pre-v2 levels indefinitely)</t>
        </is>
      </c>
    </row>
    <row r="43">
      <c r="A43" s="6" t="inlineStr">
        <is>
          <t>Month</t>
        </is>
      </c>
      <c r="B43" s="6" t="inlineStr">
        <is>
          <t>Year</t>
        </is>
      </c>
      <c r="C43" s="6" t="inlineStr">
        <is>
          <t>New</t>
        </is>
      </c>
      <c r="D43" s="6" t="inlineStr">
        <is>
          <t>Base</t>
        </is>
      </c>
      <c r="E43" s="6" t="inlineStr">
        <is>
          <t>Opt</t>
        </is>
      </c>
      <c r="F43" s="6" t="inlineStr">
        <is>
          <t>Perf</t>
        </is>
      </c>
      <c r="G43" s="6" t="inlineStr">
        <is>
          <t>Perf-&gt;Clinical (this mo)</t>
        </is>
      </c>
      <c r="H43" s="6" t="inlineStr">
        <is>
          <t>Total AP active</t>
        </is>
      </c>
    </row>
    <row r="44">
      <c r="A44" s="8" t="n">
        <v>1</v>
      </c>
      <c r="B44" s="8" t="n">
        <v>1</v>
      </c>
      <c r="C44" s="8" t="n">
        <v>24</v>
      </c>
      <c r="D44" s="8" t="n">
        <v>24</v>
      </c>
      <c r="E44" s="8" t="n">
        <v>0</v>
      </c>
      <c r="F44" s="8" t="n">
        <v>0</v>
      </c>
      <c r="G44" s="8" t="n">
        <v>0</v>
      </c>
      <c r="H44" s="8" t="n">
        <v>24</v>
      </c>
    </row>
    <row r="45">
      <c r="A45" s="8" t="n">
        <v>2</v>
      </c>
      <c r="B45" s="8" t="n">
        <v>1</v>
      </c>
      <c r="C45" s="8" t="n">
        <v>42</v>
      </c>
      <c r="D45" s="8" t="n">
        <v>65</v>
      </c>
      <c r="E45" s="8" t="n">
        <v>0</v>
      </c>
      <c r="F45" s="8" t="n">
        <v>0</v>
      </c>
      <c r="G45" s="8" t="n">
        <v>0</v>
      </c>
      <c r="H45" s="8" t="n">
        <v>66</v>
      </c>
    </row>
    <row r="46">
      <c r="A46" s="8" t="n">
        <v>3</v>
      </c>
      <c r="B46" s="8" t="n">
        <v>1</v>
      </c>
      <c r="C46" s="8" t="n">
        <v>66</v>
      </c>
      <c r="D46" s="8" t="n">
        <v>128</v>
      </c>
      <c r="E46" s="8" t="n">
        <v>2</v>
      </c>
      <c r="F46" s="8" t="n">
        <v>0</v>
      </c>
      <c r="G46" s="8" t="n">
        <v>0</v>
      </c>
      <c r="H46" s="8" t="n">
        <v>130</v>
      </c>
    </row>
    <row r="47">
      <c r="A47" s="8" t="n">
        <v>4</v>
      </c>
      <c r="B47" s="8" t="n">
        <v>1</v>
      </c>
      <c r="C47" s="8" t="n">
        <v>90</v>
      </c>
      <c r="D47" s="8" t="n">
        <v>186</v>
      </c>
      <c r="E47" s="8" t="n">
        <v>31</v>
      </c>
      <c r="F47" s="8" t="n">
        <v>0</v>
      </c>
      <c r="G47" s="8" t="n">
        <v>0</v>
      </c>
      <c r="H47" s="8" t="n">
        <v>218</v>
      </c>
    </row>
    <row r="48">
      <c r="A48" s="8" t="n">
        <v>5</v>
      </c>
      <c r="B48" s="8" t="n">
        <v>1</v>
      </c>
      <c r="C48" s="8" t="n">
        <v>108</v>
      </c>
      <c r="D48" s="8" t="n">
        <v>255</v>
      </c>
      <c r="E48" s="8" t="n">
        <v>66</v>
      </c>
      <c r="F48" s="8" t="n">
        <v>0</v>
      </c>
      <c r="G48" s="8" t="n">
        <v>0</v>
      </c>
      <c r="H48" s="8" t="n">
        <v>321</v>
      </c>
    </row>
    <row r="49">
      <c r="A49" s="8" t="n">
        <v>6</v>
      </c>
      <c r="B49" s="8" t="n">
        <v>1</v>
      </c>
      <c r="C49" s="8" t="n">
        <v>120</v>
      </c>
      <c r="D49" s="8" t="n">
        <v>329</v>
      </c>
      <c r="E49" s="8" t="n">
        <v>105</v>
      </c>
      <c r="F49" s="8" t="n">
        <v>1</v>
      </c>
      <c r="G49" s="8" t="n">
        <v>0</v>
      </c>
      <c r="H49" s="8" t="n">
        <v>435</v>
      </c>
    </row>
    <row r="50">
      <c r="A50" s="8" t="n">
        <v>7</v>
      </c>
      <c r="B50" s="8" t="n">
        <v>1</v>
      </c>
      <c r="C50" s="8" t="n">
        <v>130</v>
      </c>
      <c r="D50" s="8" t="n">
        <v>407</v>
      </c>
      <c r="E50" s="8" t="n">
        <v>147</v>
      </c>
      <c r="F50" s="8" t="n">
        <v>3</v>
      </c>
      <c r="G50" s="8" t="n">
        <v>0</v>
      </c>
      <c r="H50" s="8" t="n">
        <v>556</v>
      </c>
    </row>
    <row r="51">
      <c r="A51" s="8" t="n">
        <v>8</v>
      </c>
      <c r="B51" s="8" t="n">
        <v>1</v>
      </c>
      <c r="C51" s="8" t="n">
        <v>140</v>
      </c>
      <c r="D51" s="8" t="n">
        <v>488</v>
      </c>
      <c r="E51" s="8" t="n">
        <v>192</v>
      </c>
      <c r="F51" s="8" t="n">
        <v>5</v>
      </c>
      <c r="G51" s="8" t="n">
        <v>0</v>
      </c>
      <c r="H51" s="8" t="n">
        <v>685</v>
      </c>
    </row>
    <row r="52">
      <c r="A52" s="8" t="n">
        <v>9</v>
      </c>
      <c r="B52" s="8" t="n">
        <v>1</v>
      </c>
      <c r="C52" s="8" t="n">
        <v>150</v>
      </c>
      <c r="D52" s="8" t="n">
        <v>574</v>
      </c>
      <c r="E52" s="8" t="n">
        <v>239</v>
      </c>
      <c r="F52" s="8" t="n">
        <v>8</v>
      </c>
      <c r="G52" s="8" t="n">
        <v>0</v>
      </c>
      <c r="H52" s="8" t="n">
        <v>821</v>
      </c>
    </row>
    <row r="53">
      <c r="A53" s="8" t="n">
        <v>10</v>
      </c>
      <c r="B53" s="8" t="n">
        <v>1</v>
      </c>
      <c r="C53" s="8" t="n">
        <v>160</v>
      </c>
      <c r="D53" s="8" t="n">
        <v>663</v>
      </c>
      <c r="E53" s="8" t="n">
        <v>290</v>
      </c>
      <c r="F53" s="8" t="n">
        <v>11</v>
      </c>
      <c r="G53" s="8" t="n">
        <v>0</v>
      </c>
      <c r="H53" s="8" t="n">
        <v>965</v>
      </c>
    </row>
    <row r="54">
      <c r="A54" s="8" t="n">
        <v>11</v>
      </c>
      <c r="B54" s="8" t="n">
        <v>1</v>
      </c>
      <c r="C54" s="8" t="n">
        <v>170</v>
      </c>
      <c r="D54" s="8" t="n">
        <v>756</v>
      </c>
      <c r="E54" s="8" t="n">
        <v>344</v>
      </c>
      <c r="F54" s="8" t="n">
        <v>15</v>
      </c>
      <c r="G54" s="8" t="n">
        <v>0</v>
      </c>
      <c r="H54" s="8" t="n">
        <v>1116</v>
      </c>
    </row>
    <row r="55">
      <c r="A55" s="8" t="n">
        <v>12</v>
      </c>
      <c r="B55" s="8" t="n">
        <v>1</v>
      </c>
      <c r="C55" s="8" t="n">
        <v>180</v>
      </c>
      <c r="D55" s="8" t="n">
        <v>852</v>
      </c>
      <c r="E55" s="8" t="n">
        <v>401</v>
      </c>
      <c r="F55" s="8" t="n">
        <v>20</v>
      </c>
      <c r="G55" s="8" t="n">
        <v>0</v>
      </c>
      <c r="H55" s="8" t="n">
        <v>1273</v>
      </c>
    </row>
    <row r="56">
      <c r="A56" s="8" t="n">
        <v>13</v>
      </c>
      <c r="B56" s="8" t="n">
        <v>2</v>
      </c>
      <c r="C56" s="8" t="n">
        <v>193</v>
      </c>
      <c r="D56" s="8" t="n">
        <v>953</v>
      </c>
      <c r="E56" s="8" t="n">
        <v>462</v>
      </c>
      <c r="F56" s="8" t="n">
        <v>25</v>
      </c>
      <c r="G56" s="8" t="n">
        <v>0.5</v>
      </c>
      <c r="H56" s="8" t="n">
        <v>1440</v>
      </c>
    </row>
    <row r="57">
      <c r="A57" s="8" t="n">
        <v>14</v>
      </c>
      <c r="B57" s="8" t="n">
        <v>2</v>
      </c>
      <c r="C57" s="8" t="n">
        <v>207</v>
      </c>
      <c r="D57" s="8" t="n">
        <v>1061</v>
      </c>
      <c r="E57" s="8" t="n">
        <v>527</v>
      </c>
      <c r="F57" s="8" t="n">
        <v>31</v>
      </c>
      <c r="G57" s="8" t="n">
        <v>0.6</v>
      </c>
      <c r="H57" s="8" t="n">
        <v>1618</v>
      </c>
    </row>
    <row r="58">
      <c r="A58" s="8" t="n">
        <v>15</v>
      </c>
      <c r="B58" s="8" t="n">
        <v>2</v>
      </c>
      <c r="C58" s="8" t="n">
        <v>220</v>
      </c>
      <c r="D58" s="8" t="n">
        <v>1173</v>
      </c>
      <c r="E58" s="8" t="n">
        <v>595</v>
      </c>
      <c r="F58" s="8" t="n">
        <v>37</v>
      </c>
      <c r="G58" s="8" t="n">
        <v>0.8</v>
      </c>
      <c r="H58" s="8" t="n">
        <v>1805</v>
      </c>
    </row>
    <row r="59">
      <c r="A59" s="8" t="n">
        <v>16</v>
      </c>
      <c r="B59" s="8" t="n">
        <v>2</v>
      </c>
      <c r="C59" s="8" t="n">
        <v>233</v>
      </c>
      <c r="D59" s="8" t="n">
        <v>1289</v>
      </c>
      <c r="E59" s="8" t="n">
        <v>667</v>
      </c>
      <c r="F59" s="8" t="n">
        <v>44</v>
      </c>
      <c r="G59" s="8" t="n">
        <v>0.9</v>
      </c>
      <c r="H59" s="8" t="n">
        <v>2001</v>
      </c>
    </row>
    <row r="60">
      <c r="A60" s="8" t="n">
        <v>17</v>
      </c>
      <c r="B60" s="8" t="n">
        <v>2</v>
      </c>
      <c r="C60" s="8" t="n">
        <v>247</v>
      </c>
      <c r="D60" s="8" t="n">
        <v>1411</v>
      </c>
      <c r="E60" s="8" t="n">
        <v>744</v>
      </c>
      <c r="F60" s="8" t="n">
        <v>52</v>
      </c>
      <c r="G60" s="8" t="n">
        <v>1.1</v>
      </c>
      <c r="H60" s="8" t="n">
        <v>2207</v>
      </c>
    </row>
    <row r="61">
      <c r="A61" s="8" t="n">
        <v>18</v>
      </c>
      <c r="B61" s="8" t="n">
        <v>2</v>
      </c>
      <c r="C61" s="8" t="n">
        <v>260</v>
      </c>
      <c r="D61" s="8" t="n">
        <v>1537</v>
      </c>
      <c r="E61" s="8" t="n">
        <v>823</v>
      </c>
      <c r="F61" s="8" t="n">
        <v>61</v>
      </c>
      <c r="G61" s="8" t="n">
        <v>1.2</v>
      </c>
      <c r="H61" s="8" t="n">
        <v>2421</v>
      </c>
    </row>
    <row r="62">
      <c r="A62" s="8" t="n">
        <v>19</v>
      </c>
      <c r="B62" s="8" t="n">
        <v>2</v>
      </c>
      <c r="C62" s="8" t="n">
        <v>273</v>
      </c>
      <c r="D62" s="8" t="n">
        <v>1667</v>
      </c>
      <c r="E62" s="8" t="n">
        <v>907</v>
      </c>
      <c r="F62" s="8" t="n">
        <v>70</v>
      </c>
      <c r="G62" s="8" t="n">
        <v>1.4</v>
      </c>
      <c r="H62" s="8" t="n">
        <v>2644</v>
      </c>
    </row>
    <row r="63">
      <c r="A63" s="8" t="n">
        <v>20</v>
      </c>
      <c r="B63" s="8" t="n">
        <v>2</v>
      </c>
      <c r="C63" s="8" t="n">
        <v>287</v>
      </c>
      <c r="D63" s="8" t="n">
        <v>1802</v>
      </c>
      <c r="E63" s="8" t="n">
        <v>994</v>
      </c>
      <c r="F63" s="8" t="n">
        <v>80</v>
      </c>
      <c r="G63" s="8" t="n">
        <v>1.6</v>
      </c>
      <c r="H63" s="8" t="n">
        <v>2877</v>
      </c>
    </row>
    <row r="64">
      <c r="A64" s="8" t="n">
        <v>21</v>
      </c>
      <c r="B64" s="8" t="n">
        <v>2</v>
      </c>
      <c r="C64" s="8" t="n">
        <v>300</v>
      </c>
      <c r="D64" s="8" t="n">
        <v>1941</v>
      </c>
      <c r="E64" s="8" t="n">
        <v>1085</v>
      </c>
      <c r="F64" s="8" t="n">
        <v>92</v>
      </c>
      <c r="G64" s="8" t="n">
        <v>1.9</v>
      </c>
      <c r="H64" s="8" t="n">
        <v>3118</v>
      </c>
    </row>
    <row r="65">
      <c r="A65" s="8" t="n">
        <v>22</v>
      </c>
      <c r="B65" s="8" t="n">
        <v>2</v>
      </c>
      <c r="C65" s="8" t="n">
        <v>313</v>
      </c>
      <c r="D65" s="8" t="n">
        <v>2083</v>
      </c>
      <c r="E65" s="8" t="n">
        <v>1179</v>
      </c>
      <c r="F65" s="8" t="n">
        <v>104</v>
      </c>
      <c r="G65" s="8" t="n">
        <v>2.1</v>
      </c>
      <c r="H65" s="8" t="n">
        <v>3366</v>
      </c>
    </row>
    <row r="66">
      <c r="A66" s="8" t="n">
        <v>23</v>
      </c>
      <c r="B66" s="8" t="n">
        <v>2</v>
      </c>
      <c r="C66" s="8" t="n">
        <v>327</v>
      </c>
      <c r="D66" s="8" t="n">
        <v>2230</v>
      </c>
      <c r="E66" s="8" t="n">
        <v>1277</v>
      </c>
      <c r="F66" s="8" t="n">
        <v>116</v>
      </c>
      <c r="G66" s="8" t="n">
        <v>2.4</v>
      </c>
      <c r="H66" s="8" t="n">
        <v>3623</v>
      </c>
    </row>
    <row r="67">
      <c r="A67" s="8" t="n">
        <v>24</v>
      </c>
      <c r="B67" s="8" t="n">
        <v>2</v>
      </c>
      <c r="C67" s="8" t="n">
        <v>340</v>
      </c>
      <c r="D67" s="8" t="n">
        <v>2379</v>
      </c>
      <c r="E67" s="8" t="n">
        <v>1379</v>
      </c>
      <c r="F67" s="8" t="n">
        <v>130</v>
      </c>
      <c r="G67" s="8" t="n">
        <v>2.7</v>
      </c>
      <c r="H67" s="8" t="n">
        <v>3888</v>
      </c>
    </row>
    <row r="68">
      <c r="A68" s="8" t="n">
        <v>25</v>
      </c>
      <c r="B68" s="8" t="n">
        <v>3</v>
      </c>
      <c r="C68" s="8" t="n">
        <v>353</v>
      </c>
      <c r="D68" s="8" t="n">
        <v>2532</v>
      </c>
      <c r="E68" s="8" t="n">
        <v>1483</v>
      </c>
      <c r="F68" s="8" t="n">
        <v>145</v>
      </c>
      <c r="G68" s="8" t="n">
        <v>3</v>
      </c>
      <c r="H68" s="8" t="n">
        <v>4161</v>
      </c>
    </row>
    <row r="69">
      <c r="A69" s="8" t="n">
        <v>26</v>
      </c>
      <c r="B69" s="8" t="n">
        <v>3</v>
      </c>
      <c r="C69" s="8" t="n">
        <v>367</v>
      </c>
      <c r="D69" s="8" t="n">
        <v>2689</v>
      </c>
      <c r="E69" s="8" t="n">
        <v>1592</v>
      </c>
      <c r="F69" s="8" t="n">
        <v>161</v>
      </c>
      <c r="G69" s="8" t="n">
        <v>3.3</v>
      </c>
      <c r="H69" s="8" t="n">
        <v>4441</v>
      </c>
    </row>
    <row r="70">
      <c r="A70" s="8" t="n">
        <v>27</v>
      </c>
      <c r="B70" s="8" t="n">
        <v>3</v>
      </c>
      <c r="C70" s="8" t="n">
        <v>380</v>
      </c>
      <c r="D70" s="8" t="n">
        <v>2848</v>
      </c>
      <c r="E70" s="8" t="n">
        <v>1703</v>
      </c>
      <c r="F70" s="8" t="n">
        <v>177</v>
      </c>
      <c r="G70" s="8" t="n">
        <v>3.6</v>
      </c>
      <c r="H70" s="8" t="n">
        <v>4729</v>
      </c>
    </row>
    <row r="71">
      <c r="A71" s="8" t="n">
        <v>28</v>
      </c>
      <c r="B71" s="8" t="n">
        <v>3</v>
      </c>
      <c r="C71" s="8" t="n">
        <v>393</v>
      </c>
      <c r="D71" s="8" t="n">
        <v>3011</v>
      </c>
      <c r="E71" s="8" t="n">
        <v>1818</v>
      </c>
      <c r="F71" s="8" t="n">
        <v>195</v>
      </c>
      <c r="G71" s="8" t="n">
        <v>4</v>
      </c>
      <c r="H71" s="8" t="n">
        <v>5023</v>
      </c>
    </row>
    <row r="72">
      <c r="A72" s="8" t="n">
        <v>29</v>
      </c>
      <c r="B72" s="8" t="n">
        <v>3</v>
      </c>
      <c r="C72" s="8" t="n">
        <v>407</v>
      </c>
      <c r="D72" s="8" t="n">
        <v>3176</v>
      </c>
      <c r="E72" s="8" t="n">
        <v>1936</v>
      </c>
      <c r="F72" s="8" t="n">
        <v>213</v>
      </c>
      <c r="G72" s="8" t="n">
        <v>4.3</v>
      </c>
      <c r="H72" s="8" t="n">
        <v>5325</v>
      </c>
    </row>
    <row r="73">
      <c r="A73" s="8" t="n">
        <v>30</v>
      </c>
      <c r="B73" s="8" t="n">
        <v>3</v>
      </c>
      <c r="C73" s="8" t="n">
        <v>420</v>
      </c>
      <c r="D73" s="8" t="n">
        <v>3345</v>
      </c>
      <c r="E73" s="8" t="n">
        <v>2057</v>
      </c>
      <c r="F73" s="8" t="n">
        <v>233</v>
      </c>
      <c r="G73" s="8" t="n">
        <v>4.7</v>
      </c>
      <c r="H73" s="8" t="n">
        <v>5634</v>
      </c>
    </row>
    <row r="74">
      <c r="A74" s="8" t="n">
        <v>31</v>
      </c>
      <c r="B74" s="8" t="n">
        <v>3</v>
      </c>
      <c r="C74" s="8" t="n">
        <v>433</v>
      </c>
      <c r="D74" s="8" t="n">
        <v>3515</v>
      </c>
      <c r="E74" s="8" t="n">
        <v>2181</v>
      </c>
      <c r="F74" s="8" t="n">
        <v>253</v>
      </c>
      <c r="G74" s="8" t="n">
        <v>5.2</v>
      </c>
      <c r="H74" s="8" t="n">
        <v>5949</v>
      </c>
    </row>
    <row r="75">
      <c r="A75" s="8" t="n">
        <v>32</v>
      </c>
      <c r="B75" s="8" t="n">
        <v>3</v>
      </c>
      <c r="C75" s="8" t="n">
        <v>447</v>
      </c>
      <c r="D75" s="8" t="n">
        <v>3689</v>
      </c>
      <c r="E75" s="8" t="n">
        <v>2308</v>
      </c>
      <c r="F75" s="8" t="n">
        <v>274</v>
      </c>
      <c r="G75" s="8" t="n">
        <v>5.6</v>
      </c>
      <c r="H75" s="8" t="n">
        <v>6272</v>
      </c>
    </row>
    <row r="76">
      <c r="A76" s="8" t="n">
        <v>33</v>
      </c>
      <c r="B76" s="8" t="n">
        <v>3</v>
      </c>
      <c r="C76" s="8" t="n">
        <v>460</v>
      </c>
      <c r="D76" s="8" t="n">
        <v>3865</v>
      </c>
      <c r="E76" s="8" t="n">
        <v>2438</v>
      </c>
      <c r="F76" s="8" t="n">
        <v>297</v>
      </c>
      <c r="G76" s="8" t="n">
        <v>6.1</v>
      </c>
      <c r="H76" s="8" t="n">
        <v>6600</v>
      </c>
    </row>
    <row r="77">
      <c r="A77" s="8" t="n">
        <v>34</v>
      </c>
      <c r="B77" s="8" t="n">
        <v>3</v>
      </c>
      <c r="C77" s="8" t="n">
        <v>473</v>
      </c>
      <c r="D77" s="8" t="n">
        <v>4043</v>
      </c>
      <c r="E77" s="8" t="n">
        <v>2572</v>
      </c>
      <c r="F77" s="8" t="n">
        <v>320</v>
      </c>
      <c r="G77" s="8" t="n">
        <v>6.5</v>
      </c>
      <c r="H77" s="8" t="n">
        <v>6935</v>
      </c>
    </row>
    <row r="78">
      <c r="A78" s="8" t="n">
        <v>35</v>
      </c>
      <c r="B78" s="8" t="n">
        <v>3</v>
      </c>
      <c r="C78" s="8" t="n">
        <v>487</v>
      </c>
      <c r="D78" s="8" t="n">
        <v>4224</v>
      </c>
      <c r="E78" s="8" t="n">
        <v>2708</v>
      </c>
      <c r="F78" s="8" t="n">
        <v>345</v>
      </c>
      <c r="G78" s="8" t="n">
        <v>7</v>
      </c>
      <c r="H78" s="8" t="n">
        <v>7276</v>
      </c>
    </row>
    <row r="79">
      <c r="A79" s="8" t="n">
        <v>36</v>
      </c>
      <c r="B79" s="8" t="n">
        <v>3</v>
      </c>
      <c r="C79" s="8" t="n">
        <v>500</v>
      </c>
      <c r="D79" s="8" t="n">
        <v>4406</v>
      </c>
      <c r="E79" s="8" t="n">
        <v>2846</v>
      </c>
      <c r="F79" s="8" t="n">
        <v>370</v>
      </c>
      <c r="G79" s="8" t="n">
        <v>7.5</v>
      </c>
      <c r="H79" s="8" t="n">
        <v>7623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1" customWidth="1" min="4" max="4"/>
    <col width="13" customWidth="1" min="5" max="5"/>
    <col width="11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3" t="inlineStr">
        <is>
          <t>Andro Prime Ltd — Monthly P&amp;L — v2 gate PASS</t>
        </is>
      </c>
    </row>
    <row r="2"/>
    <row r="3">
      <c r="A3" s="6" t="inlineStr">
        <is>
          <t>Month</t>
        </is>
      </c>
      <c r="B3" s="6" t="inlineStr">
        <is>
          <t>Year</t>
        </is>
      </c>
      <c r="C3" s="6" t="inlineStr">
        <is>
          <t>New cust</t>
        </is>
      </c>
      <c r="D3" s="6" t="inlineStr">
        <is>
          <t>Active DS</t>
        </is>
      </c>
      <c r="E3" s="6" t="inlineStr">
        <is>
          <t>Active Coll</t>
        </is>
      </c>
      <c r="F3" s="6" t="inlineStr">
        <is>
          <t>Kit gross</t>
        </is>
      </c>
      <c r="G3" s="6" t="inlineStr">
        <is>
          <t>DS net</t>
        </is>
      </c>
      <c r="H3" s="6" t="inlineStr">
        <is>
          <t>Coll net</t>
        </is>
      </c>
      <c r="I3" s="6" t="inlineStr">
        <is>
          <t>Retest net</t>
        </is>
      </c>
      <c r="J3" s="6" t="inlineStr">
        <is>
          <t>Interco in</t>
        </is>
      </c>
      <c r="K3" s="6" t="inlineStr">
        <is>
          <t>Revenue</t>
        </is>
      </c>
      <c r="L3" s="6" t="inlineStr">
        <is>
          <t>Overhead</t>
        </is>
      </c>
      <c r="M3" s="6" t="inlineStr">
        <is>
          <t>Ewa</t>
        </is>
      </c>
      <c r="N3" s="6" t="inlineStr">
        <is>
          <t>Paid media</t>
        </is>
      </c>
      <c r="O3" s="6" t="inlineStr">
        <is>
          <t>Tracker</t>
        </is>
      </c>
      <c r="P3" s="6" t="inlineStr">
        <is>
          <t>PT costs</t>
        </is>
      </c>
      <c r="Q3" s="6" t="inlineStr">
        <is>
          <t>Content</t>
        </is>
      </c>
      <c r="R3" s="6" t="inlineStr">
        <is>
          <t>OpEx</t>
        </is>
      </c>
      <c r="S3" s="6" t="inlineStr">
        <is>
          <t>Net</t>
        </is>
      </c>
      <c r="T3" s="6" t="inlineStr">
        <is>
          <t>Cum cash</t>
        </is>
      </c>
    </row>
    <row r="4">
      <c r="A4" s="14" t="n">
        <v>1</v>
      </c>
      <c r="B4" s="14" t="n">
        <v>1</v>
      </c>
      <c r="C4" s="14" t="n">
        <v>24</v>
      </c>
      <c r="D4" s="14" t="n">
        <v>3.6</v>
      </c>
      <c r="E4" s="14" t="n">
        <v>1.4</v>
      </c>
      <c r="F4" s="14" t="n">
        <v>893</v>
      </c>
      <c r="G4" s="14" t="n">
        <v>61</v>
      </c>
      <c r="H4" s="14" t="n">
        <v>16</v>
      </c>
      <c r="I4" s="14" t="n">
        <v>0</v>
      </c>
      <c r="J4" s="14" t="n">
        <v>0</v>
      </c>
      <c r="K4" s="14" t="n">
        <v>971</v>
      </c>
      <c r="L4" s="14" t="n">
        <v>-593</v>
      </c>
      <c r="M4" s="14" t="n">
        <v>-1000</v>
      </c>
      <c r="N4" s="14" t="n">
        <v>0</v>
      </c>
      <c r="O4" s="14" t="n">
        <v>0</v>
      </c>
      <c r="P4" s="14" t="n">
        <v>-2750</v>
      </c>
      <c r="Q4" s="14" t="n">
        <v>0</v>
      </c>
      <c r="R4" s="14" t="n">
        <v>-4343</v>
      </c>
      <c r="S4" s="14" t="n">
        <v>-3372</v>
      </c>
      <c r="T4" s="14" t="n">
        <v>-3372</v>
      </c>
    </row>
    <row r="5">
      <c r="A5" s="14" t="n">
        <v>2</v>
      </c>
      <c r="B5" s="14" t="n">
        <v>1</v>
      </c>
      <c r="C5" s="14" t="n">
        <v>42</v>
      </c>
      <c r="D5" s="14" t="n">
        <v>9.9</v>
      </c>
      <c r="E5" s="14" t="n">
        <v>4</v>
      </c>
      <c r="F5" s="14" t="n">
        <v>1564</v>
      </c>
      <c r="G5" s="14" t="n">
        <v>187</v>
      </c>
      <c r="H5" s="14" t="n">
        <v>52</v>
      </c>
      <c r="I5" s="14" t="n">
        <v>0</v>
      </c>
      <c r="J5" s="14" t="n">
        <v>0</v>
      </c>
      <c r="K5" s="14" t="n">
        <v>1802</v>
      </c>
      <c r="L5" s="14" t="n">
        <v>-593</v>
      </c>
      <c r="M5" s="14" t="n">
        <v>-1000</v>
      </c>
      <c r="N5" s="14" t="n">
        <v>0</v>
      </c>
      <c r="O5" s="14" t="n">
        <v>0</v>
      </c>
      <c r="P5" s="14" t="n">
        <v>-700</v>
      </c>
      <c r="Q5" s="14" t="n">
        <v>0</v>
      </c>
      <c r="R5" s="14" t="n">
        <v>-2293</v>
      </c>
      <c r="S5" s="14" t="n">
        <v>-491</v>
      </c>
      <c r="T5" s="14" t="n">
        <v>-3863</v>
      </c>
    </row>
    <row r="6">
      <c r="A6" s="14" t="n">
        <v>3</v>
      </c>
      <c r="B6" s="14" t="n">
        <v>1</v>
      </c>
      <c r="C6" s="14" t="n">
        <v>66</v>
      </c>
      <c r="D6" s="14" t="n">
        <v>19.8</v>
      </c>
      <c r="E6" s="14" t="n">
        <v>7.9</v>
      </c>
      <c r="F6" s="14" t="n">
        <v>2457</v>
      </c>
      <c r="G6" s="14" t="n">
        <v>388</v>
      </c>
      <c r="H6" s="14" t="n">
        <v>109</v>
      </c>
      <c r="I6" s="14" t="n">
        <v>0</v>
      </c>
      <c r="J6" s="14" t="n">
        <v>0</v>
      </c>
      <c r="K6" s="14" t="n">
        <v>2953</v>
      </c>
      <c r="L6" s="14" t="n">
        <v>-593</v>
      </c>
      <c r="M6" s="14" t="n">
        <v>-1000</v>
      </c>
      <c r="N6" s="14" t="n">
        <v>0</v>
      </c>
      <c r="O6" s="14" t="n">
        <v>-4000</v>
      </c>
      <c r="P6" s="14" t="n">
        <v>-1700</v>
      </c>
      <c r="Q6" s="14" t="n">
        <v>0</v>
      </c>
      <c r="R6" s="14" t="n">
        <v>-7293</v>
      </c>
      <c r="S6" s="14" t="n">
        <v>-4340</v>
      </c>
      <c r="T6" s="14" t="n">
        <v>-8202</v>
      </c>
    </row>
    <row r="7">
      <c r="A7" s="14" t="n">
        <v>4</v>
      </c>
      <c r="B7" s="14" t="n">
        <v>1</v>
      </c>
      <c r="C7" s="14" t="n">
        <v>90</v>
      </c>
      <c r="D7" s="14" t="n">
        <v>33.3</v>
      </c>
      <c r="E7" s="14" t="n">
        <v>13.3</v>
      </c>
      <c r="F7" s="14" t="n">
        <v>3351</v>
      </c>
      <c r="G7" s="14" t="n">
        <v>668</v>
      </c>
      <c r="H7" s="14" t="n">
        <v>189</v>
      </c>
      <c r="I7" s="14" t="n">
        <v>0</v>
      </c>
      <c r="J7" s="14" t="n">
        <v>0</v>
      </c>
      <c r="K7" s="14" t="n">
        <v>4207</v>
      </c>
      <c r="L7" s="14" t="n">
        <v>-593</v>
      </c>
      <c r="M7" s="14" t="n">
        <v>-1000</v>
      </c>
      <c r="N7" s="14" t="n">
        <v>0</v>
      </c>
      <c r="O7" s="14" t="n">
        <v>-4000</v>
      </c>
      <c r="P7" s="14" t="n">
        <v>-700</v>
      </c>
      <c r="Q7" s="14" t="n">
        <v>0</v>
      </c>
      <c r="R7" s="14" t="n">
        <v>-6293</v>
      </c>
      <c r="S7" s="14" t="n">
        <v>-2086</v>
      </c>
      <c r="T7" s="14" t="n">
        <v>-10288</v>
      </c>
    </row>
    <row r="8">
      <c r="A8" s="14" t="n">
        <v>5</v>
      </c>
      <c r="B8" s="14" t="n">
        <v>1</v>
      </c>
      <c r="C8" s="14" t="n">
        <v>108</v>
      </c>
      <c r="D8" s="14" t="n">
        <v>45.9</v>
      </c>
      <c r="E8" s="14" t="n">
        <v>18.4</v>
      </c>
      <c r="F8" s="14" t="n">
        <v>4021</v>
      </c>
      <c r="G8" s="14" t="n">
        <v>932</v>
      </c>
      <c r="H8" s="14" t="n">
        <v>265</v>
      </c>
      <c r="I8" s="14" t="n">
        <v>22</v>
      </c>
      <c r="J8" s="14" t="n">
        <v>0</v>
      </c>
      <c r="K8" s="14" t="n">
        <v>5240</v>
      </c>
      <c r="L8" s="14" t="n">
        <v>-593</v>
      </c>
      <c r="M8" s="14" t="n">
        <v>-1000</v>
      </c>
      <c r="N8" s="14" t="n">
        <v>0</v>
      </c>
      <c r="O8" s="14" t="n">
        <v>0</v>
      </c>
      <c r="P8" s="14" t="n">
        <v>-700</v>
      </c>
      <c r="Q8" s="14" t="n">
        <v>0</v>
      </c>
      <c r="R8" s="14" t="n">
        <v>-2293</v>
      </c>
      <c r="S8" s="14" t="n">
        <v>2947</v>
      </c>
      <c r="T8" s="14" t="n">
        <v>-7341</v>
      </c>
    </row>
    <row r="9">
      <c r="A9" s="14" t="n">
        <v>6</v>
      </c>
      <c r="B9" s="14" t="n">
        <v>1</v>
      </c>
      <c r="C9" s="14" t="n">
        <v>120</v>
      </c>
      <c r="D9" s="14" t="n">
        <v>57.6</v>
      </c>
      <c r="E9" s="14" t="n">
        <v>23</v>
      </c>
      <c r="F9" s="14" t="n">
        <v>4467</v>
      </c>
      <c r="G9" s="14" t="n">
        <v>1182</v>
      </c>
      <c r="H9" s="14" t="n">
        <v>337</v>
      </c>
      <c r="I9" s="14" t="n">
        <v>71</v>
      </c>
      <c r="J9" s="14" t="n">
        <v>0</v>
      </c>
      <c r="K9" s="14" t="n">
        <v>6057</v>
      </c>
      <c r="L9" s="14" t="n">
        <v>-593</v>
      </c>
      <c r="M9" s="14" t="n">
        <v>-1000</v>
      </c>
      <c r="N9" s="14" t="n">
        <v>0</v>
      </c>
      <c r="O9" s="14" t="n">
        <v>0</v>
      </c>
      <c r="P9" s="14" t="n">
        <v>-3700</v>
      </c>
      <c r="Q9" s="14" t="n">
        <v>0</v>
      </c>
      <c r="R9" s="14" t="n">
        <v>-5293</v>
      </c>
      <c r="S9" s="14" t="n">
        <v>764</v>
      </c>
      <c r="T9" s="14" t="n">
        <v>-6577</v>
      </c>
    </row>
    <row r="10">
      <c r="A10" s="14" t="n">
        <v>7</v>
      </c>
      <c r="B10" s="14" t="n">
        <v>1</v>
      </c>
      <c r="C10" s="14" t="n">
        <v>130</v>
      </c>
      <c r="D10" s="14" t="n">
        <v>67.2</v>
      </c>
      <c r="E10" s="14" t="n">
        <v>26.9</v>
      </c>
      <c r="F10" s="14" t="n">
        <v>4840</v>
      </c>
      <c r="G10" s="14" t="n">
        <v>1386</v>
      </c>
      <c r="H10" s="14" t="n">
        <v>396</v>
      </c>
      <c r="I10" s="14" t="n">
        <v>151</v>
      </c>
      <c r="J10" s="14" t="n">
        <v>0</v>
      </c>
      <c r="K10" s="14" t="n">
        <v>6774</v>
      </c>
      <c r="L10" s="14" t="n">
        <v>-593</v>
      </c>
      <c r="M10" s="14" t="n">
        <v>-1000</v>
      </c>
      <c r="N10" s="14" t="n">
        <v>0</v>
      </c>
      <c r="O10" s="14" t="n">
        <v>0</v>
      </c>
      <c r="P10" s="14" t="n">
        <v>-700</v>
      </c>
      <c r="Q10" s="14" t="n">
        <v>0</v>
      </c>
      <c r="R10" s="14" t="n">
        <v>-2293</v>
      </c>
      <c r="S10" s="14" t="n">
        <v>4481</v>
      </c>
      <c r="T10" s="14" t="n">
        <v>-2097</v>
      </c>
    </row>
    <row r="11">
      <c r="A11" s="14" t="n">
        <v>8</v>
      </c>
      <c r="B11" s="14" t="n">
        <v>1</v>
      </c>
      <c r="C11" s="14" t="n">
        <v>140</v>
      </c>
      <c r="D11" s="14" t="n">
        <v>74.7</v>
      </c>
      <c r="E11" s="14" t="n">
        <v>29.9</v>
      </c>
      <c r="F11" s="14" t="n">
        <v>5212</v>
      </c>
      <c r="G11" s="14" t="n">
        <v>1544</v>
      </c>
      <c r="H11" s="14" t="n">
        <v>442</v>
      </c>
      <c r="I11" s="14" t="n">
        <v>268</v>
      </c>
      <c r="J11" s="14" t="n">
        <v>0</v>
      </c>
      <c r="K11" s="14" t="n">
        <v>7466</v>
      </c>
      <c r="L11" s="14" t="n">
        <v>-593</v>
      </c>
      <c r="M11" s="14" t="n">
        <v>-1000</v>
      </c>
      <c r="N11" s="14" t="n">
        <v>0</v>
      </c>
      <c r="O11" s="14" t="n">
        <v>0</v>
      </c>
      <c r="P11" s="14" t="n">
        <v>-700</v>
      </c>
      <c r="Q11" s="14" t="n">
        <v>0</v>
      </c>
      <c r="R11" s="14" t="n">
        <v>-2293</v>
      </c>
      <c r="S11" s="14" t="n">
        <v>5173</v>
      </c>
      <c r="T11" s="14" t="n">
        <v>3077</v>
      </c>
    </row>
    <row r="12">
      <c r="A12" s="14" t="n">
        <v>9</v>
      </c>
      <c r="B12" s="14" t="n">
        <v>1</v>
      </c>
      <c r="C12" s="14" t="n">
        <v>150</v>
      </c>
      <c r="D12" s="14" t="n">
        <v>81</v>
      </c>
      <c r="E12" s="14" t="n">
        <v>32.4</v>
      </c>
      <c r="F12" s="14" t="n">
        <v>5584</v>
      </c>
      <c r="G12" s="14" t="n">
        <v>1676</v>
      </c>
      <c r="H12" s="14" t="n">
        <v>480</v>
      </c>
      <c r="I12" s="14" t="n">
        <v>426</v>
      </c>
      <c r="J12" s="14" t="n">
        <v>0</v>
      </c>
      <c r="K12" s="14" t="n">
        <v>8166</v>
      </c>
      <c r="L12" s="14" t="n">
        <v>-593</v>
      </c>
      <c r="M12" s="14" t="n">
        <v>-1000</v>
      </c>
      <c r="N12" s="14" t="n">
        <v>0</v>
      </c>
      <c r="O12" s="14" t="n">
        <v>0</v>
      </c>
      <c r="P12" s="14" t="n">
        <v>-700</v>
      </c>
      <c r="Q12" s="14" t="n">
        <v>0</v>
      </c>
      <c r="R12" s="14" t="n">
        <v>-2293</v>
      </c>
      <c r="S12" s="14" t="n">
        <v>5873</v>
      </c>
      <c r="T12" s="14" t="n">
        <v>8950</v>
      </c>
    </row>
    <row r="13">
      <c r="A13" s="14" t="n">
        <v>10</v>
      </c>
      <c r="B13" s="14" t="n">
        <v>1</v>
      </c>
      <c r="C13" s="14" t="n">
        <v>160</v>
      </c>
      <c r="D13" s="14" t="n">
        <v>87</v>
      </c>
      <c r="E13" s="14" t="n">
        <v>34.8</v>
      </c>
      <c r="F13" s="14" t="n">
        <v>5956</v>
      </c>
      <c r="G13" s="14" t="n">
        <v>1801</v>
      </c>
      <c r="H13" s="14" t="n">
        <v>516</v>
      </c>
      <c r="I13" s="14" t="n">
        <v>630</v>
      </c>
      <c r="J13" s="14" t="n">
        <v>0</v>
      </c>
      <c r="K13" s="14" t="n">
        <v>8903</v>
      </c>
      <c r="L13" s="14" t="n">
        <v>-593</v>
      </c>
      <c r="M13" s="14" t="n">
        <v>-1000</v>
      </c>
      <c r="N13" s="14" t="n">
        <v>0</v>
      </c>
      <c r="O13" s="14" t="n">
        <v>0</v>
      </c>
      <c r="P13" s="14" t="n">
        <v>-700</v>
      </c>
      <c r="Q13" s="14" t="n">
        <v>0</v>
      </c>
      <c r="R13" s="14" t="n">
        <v>-2293</v>
      </c>
      <c r="S13" s="14" t="n">
        <v>6610</v>
      </c>
      <c r="T13" s="14" t="n">
        <v>15560</v>
      </c>
    </row>
    <row r="14">
      <c r="A14" s="14" t="n">
        <v>11</v>
      </c>
      <c r="B14" s="14" t="n">
        <v>1</v>
      </c>
      <c r="C14" s="14" t="n">
        <v>170</v>
      </c>
      <c r="D14" s="14" t="n">
        <v>93</v>
      </c>
      <c r="E14" s="14" t="n">
        <v>37.2</v>
      </c>
      <c r="F14" s="14" t="n">
        <v>6329</v>
      </c>
      <c r="G14" s="14" t="n">
        <v>1926</v>
      </c>
      <c r="H14" s="14" t="n">
        <v>552</v>
      </c>
      <c r="I14" s="14" t="n">
        <v>884</v>
      </c>
      <c r="J14" s="14" t="n">
        <v>0</v>
      </c>
      <c r="K14" s="14" t="n">
        <v>9691</v>
      </c>
      <c r="L14" s="14" t="n">
        <v>-593</v>
      </c>
      <c r="M14" s="14" t="n">
        <v>-1000</v>
      </c>
      <c r="N14" s="14" t="n">
        <v>0</v>
      </c>
      <c r="O14" s="14" t="n">
        <v>0</v>
      </c>
      <c r="P14" s="14" t="n">
        <v>-700</v>
      </c>
      <c r="Q14" s="14" t="n">
        <v>0</v>
      </c>
      <c r="R14" s="14" t="n">
        <v>-2293</v>
      </c>
      <c r="S14" s="14" t="n">
        <v>7398</v>
      </c>
      <c r="T14" s="14" t="n">
        <v>22957</v>
      </c>
    </row>
    <row r="15">
      <c r="A15" s="15" t="n">
        <v>12</v>
      </c>
      <c r="B15" s="15" t="n">
        <v>1</v>
      </c>
      <c r="C15" s="15" t="n">
        <v>180</v>
      </c>
      <c r="D15" s="15" t="n">
        <v>99</v>
      </c>
      <c r="E15" s="15" t="n">
        <v>39.6</v>
      </c>
      <c r="F15" s="15" t="n">
        <v>6701</v>
      </c>
      <c r="G15" s="15" t="n">
        <v>2051</v>
      </c>
      <c r="H15" s="15" t="n">
        <v>588</v>
      </c>
      <c r="I15" s="15" t="n">
        <v>1232</v>
      </c>
      <c r="J15" s="15" t="n">
        <v>0</v>
      </c>
      <c r="K15" s="15" t="n">
        <v>10571</v>
      </c>
      <c r="L15" s="15" t="n">
        <v>-593</v>
      </c>
      <c r="M15" s="15" t="n">
        <v>-1000</v>
      </c>
      <c r="N15" s="15" t="n">
        <v>0</v>
      </c>
      <c r="O15" s="15" t="n">
        <v>0</v>
      </c>
      <c r="P15" s="15" t="n">
        <v>-700</v>
      </c>
      <c r="Q15" s="15" t="n">
        <v>0</v>
      </c>
      <c r="R15" s="15" t="n">
        <v>-2293</v>
      </c>
      <c r="S15" s="15" t="n">
        <v>8278</v>
      </c>
      <c r="T15" s="15" t="n">
        <v>31236</v>
      </c>
    </row>
    <row r="16">
      <c r="A16" s="14" t="n">
        <v>13</v>
      </c>
      <c r="B16" s="14" t="n">
        <v>2</v>
      </c>
      <c r="C16" s="14" t="n">
        <v>193</v>
      </c>
      <c r="D16" s="14" t="n">
        <v>105.5</v>
      </c>
      <c r="E16" s="14" t="n">
        <v>42.2</v>
      </c>
      <c r="F16" s="14" t="n">
        <v>7185</v>
      </c>
      <c r="G16" s="14" t="n">
        <v>2184</v>
      </c>
      <c r="H16" s="14" t="n">
        <v>625</v>
      </c>
      <c r="I16" s="14" t="n">
        <v>1646</v>
      </c>
      <c r="J16" s="14" t="n">
        <v>39</v>
      </c>
      <c r="K16" s="14" t="n">
        <v>11679</v>
      </c>
      <c r="L16" s="14" t="n">
        <v>-1500</v>
      </c>
      <c r="M16" s="14" t="n">
        <v>-1500</v>
      </c>
      <c r="N16" s="14" t="n">
        <v>-1500</v>
      </c>
      <c r="O16" s="14" t="n">
        <v>0</v>
      </c>
      <c r="P16" s="14" t="n">
        <v>0</v>
      </c>
      <c r="Q16" s="14" t="n">
        <v>-500</v>
      </c>
      <c r="R16" s="14" t="n">
        <v>-5000</v>
      </c>
      <c r="S16" s="14" t="n">
        <v>6679</v>
      </c>
      <c r="T16" s="14" t="n">
        <v>37915</v>
      </c>
    </row>
    <row r="17">
      <c r="A17" s="14" t="n">
        <v>14</v>
      </c>
      <c r="B17" s="14" t="n">
        <v>2</v>
      </c>
      <c r="C17" s="14" t="n">
        <v>207</v>
      </c>
      <c r="D17" s="14" t="n">
        <v>112.5</v>
      </c>
      <c r="E17" s="14" t="n">
        <v>45</v>
      </c>
      <c r="F17" s="14" t="n">
        <v>7706</v>
      </c>
      <c r="G17" s="14" t="n">
        <v>2329</v>
      </c>
      <c r="H17" s="14" t="n">
        <v>667</v>
      </c>
      <c r="I17" s="14" t="n">
        <v>1927</v>
      </c>
      <c r="J17" s="14" t="n">
        <v>89</v>
      </c>
      <c r="K17" s="14" t="n">
        <v>12718</v>
      </c>
      <c r="L17" s="14" t="n">
        <v>-1500</v>
      </c>
      <c r="M17" s="14" t="n">
        <v>-1500</v>
      </c>
      <c r="N17" s="14" t="n">
        <v>-1500</v>
      </c>
      <c r="O17" s="14" t="n">
        <v>0</v>
      </c>
      <c r="P17" s="14" t="n">
        <v>0</v>
      </c>
      <c r="Q17" s="14" t="n">
        <v>-500</v>
      </c>
      <c r="R17" s="14" t="n">
        <v>-5000</v>
      </c>
      <c r="S17" s="14" t="n">
        <v>7718</v>
      </c>
      <c r="T17" s="14" t="n">
        <v>45633</v>
      </c>
    </row>
    <row r="18">
      <c r="A18" s="14" t="n">
        <v>15</v>
      </c>
      <c r="B18" s="14" t="n">
        <v>2</v>
      </c>
      <c r="C18" s="14" t="n">
        <v>220</v>
      </c>
      <c r="D18" s="14" t="n">
        <v>120</v>
      </c>
      <c r="E18" s="14" t="n">
        <v>48</v>
      </c>
      <c r="F18" s="14" t="n">
        <v>8190</v>
      </c>
      <c r="G18" s="14" t="n">
        <v>2485</v>
      </c>
      <c r="H18" s="14" t="n">
        <v>712</v>
      </c>
      <c r="I18" s="14" t="n">
        <v>2228</v>
      </c>
      <c r="J18" s="14" t="n">
        <v>150</v>
      </c>
      <c r="K18" s="14" t="n">
        <v>13765</v>
      </c>
      <c r="L18" s="14" t="n">
        <v>-1500</v>
      </c>
      <c r="M18" s="14" t="n">
        <v>-1500</v>
      </c>
      <c r="N18" s="14" t="n">
        <v>-1500</v>
      </c>
      <c r="O18" s="14" t="n">
        <v>0</v>
      </c>
      <c r="P18" s="14" t="n">
        <v>0</v>
      </c>
      <c r="Q18" s="14" t="n">
        <v>-500</v>
      </c>
      <c r="R18" s="14" t="n">
        <v>-5000</v>
      </c>
      <c r="S18" s="14" t="n">
        <v>8765</v>
      </c>
      <c r="T18" s="14" t="n">
        <v>54397</v>
      </c>
    </row>
    <row r="19">
      <c r="A19" s="14" t="n">
        <v>16</v>
      </c>
      <c r="B19" s="14" t="n">
        <v>2</v>
      </c>
      <c r="C19" s="14" t="n">
        <v>233</v>
      </c>
      <c r="D19" s="14" t="n">
        <v>127.9</v>
      </c>
      <c r="E19" s="14" t="n">
        <v>51.2</v>
      </c>
      <c r="F19" s="14" t="n">
        <v>8674</v>
      </c>
      <c r="G19" s="14" t="n">
        <v>2650</v>
      </c>
      <c r="H19" s="14" t="n">
        <v>759</v>
      </c>
      <c r="I19" s="14" t="n">
        <v>2550</v>
      </c>
      <c r="J19" s="14" t="n">
        <v>223</v>
      </c>
      <c r="K19" s="14" t="n">
        <v>14857</v>
      </c>
      <c r="L19" s="14" t="n">
        <v>-1500</v>
      </c>
      <c r="M19" s="14" t="n">
        <v>-1500</v>
      </c>
      <c r="N19" s="14" t="n">
        <v>-1500</v>
      </c>
      <c r="O19" s="14" t="n">
        <v>0</v>
      </c>
      <c r="P19" s="14" t="n">
        <v>0</v>
      </c>
      <c r="Q19" s="14" t="n">
        <v>-500</v>
      </c>
      <c r="R19" s="14" t="n">
        <v>-5000</v>
      </c>
      <c r="S19" s="14" t="n">
        <v>9857</v>
      </c>
      <c r="T19" s="14" t="n">
        <v>64254</v>
      </c>
    </row>
    <row r="20">
      <c r="A20" s="14" t="n">
        <v>17</v>
      </c>
      <c r="B20" s="14" t="n">
        <v>2</v>
      </c>
      <c r="C20" s="14" t="n">
        <v>247</v>
      </c>
      <c r="D20" s="14" t="n">
        <v>136.1</v>
      </c>
      <c r="E20" s="14" t="n">
        <v>54.4</v>
      </c>
      <c r="F20" s="14" t="n">
        <v>9195</v>
      </c>
      <c r="G20" s="14" t="n">
        <v>2819</v>
      </c>
      <c r="H20" s="14" t="n">
        <v>808</v>
      </c>
      <c r="I20" s="14" t="n">
        <v>2893</v>
      </c>
      <c r="J20" s="14" t="n">
        <v>310</v>
      </c>
      <c r="K20" s="14" t="n">
        <v>16025</v>
      </c>
      <c r="L20" s="14" t="n">
        <v>-1500</v>
      </c>
      <c r="M20" s="14" t="n">
        <v>-1500</v>
      </c>
      <c r="N20" s="14" t="n">
        <v>-1500</v>
      </c>
      <c r="O20" s="14" t="n">
        <v>0</v>
      </c>
      <c r="P20" s="14" t="n">
        <v>0</v>
      </c>
      <c r="Q20" s="14" t="n">
        <v>-500</v>
      </c>
      <c r="R20" s="14" t="n">
        <v>-5000</v>
      </c>
      <c r="S20" s="14" t="n">
        <v>11025</v>
      </c>
      <c r="T20" s="14" t="n">
        <v>75279</v>
      </c>
    </row>
    <row r="21">
      <c r="A21" s="14" t="n">
        <v>18</v>
      </c>
      <c r="B21" s="14" t="n">
        <v>2</v>
      </c>
      <c r="C21" s="14" t="n">
        <v>260</v>
      </c>
      <c r="D21" s="14" t="n">
        <v>144</v>
      </c>
      <c r="E21" s="14" t="n">
        <v>57.6</v>
      </c>
      <c r="F21" s="14" t="n">
        <v>9679</v>
      </c>
      <c r="G21" s="14" t="n">
        <v>2985</v>
      </c>
      <c r="H21" s="14" t="n">
        <v>855</v>
      </c>
      <c r="I21" s="14" t="n">
        <v>3256</v>
      </c>
      <c r="J21" s="14" t="n">
        <v>411</v>
      </c>
      <c r="K21" s="14" t="n">
        <v>17187</v>
      </c>
      <c r="L21" s="14" t="n">
        <v>-1500</v>
      </c>
      <c r="M21" s="14" t="n">
        <v>-1500</v>
      </c>
      <c r="N21" s="14" t="n">
        <v>-1500</v>
      </c>
      <c r="O21" s="14" t="n">
        <v>0</v>
      </c>
      <c r="P21" s="14" t="n">
        <v>0</v>
      </c>
      <c r="Q21" s="14" t="n">
        <v>-500</v>
      </c>
      <c r="R21" s="14" t="n">
        <v>-5000</v>
      </c>
      <c r="S21" s="14" t="n">
        <v>12187</v>
      </c>
      <c r="T21" s="14" t="n">
        <v>87466</v>
      </c>
    </row>
    <row r="22">
      <c r="A22" s="14" t="n">
        <v>19</v>
      </c>
      <c r="B22" s="14" t="n">
        <v>2</v>
      </c>
      <c r="C22" s="14" t="n">
        <v>273</v>
      </c>
      <c r="D22" s="14" t="n">
        <v>151.9</v>
      </c>
      <c r="E22" s="14" t="n">
        <v>60.8</v>
      </c>
      <c r="F22" s="14" t="n">
        <v>10163</v>
      </c>
      <c r="G22" s="14" t="n">
        <v>3150</v>
      </c>
      <c r="H22" s="14" t="n">
        <v>903</v>
      </c>
      <c r="I22" s="14" t="n">
        <v>3640</v>
      </c>
      <c r="J22" s="14" t="n">
        <v>528</v>
      </c>
      <c r="K22" s="14" t="n">
        <v>18385</v>
      </c>
      <c r="L22" s="14" t="n">
        <v>-1500</v>
      </c>
      <c r="M22" s="14" t="n">
        <v>-1500</v>
      </c>
      <c r="N22" s="14" t="n">
        <v>-1500</v>
      </c>
      <c r="O22" s="14" t="n">
        <v>0</v>
      </c>
      <c r="P22" s="14" t="n">
        <v>0</v>
      </c>
      <c r="Q22" s="14" t="n">
        <v>-500</v>
      </c>
      <c r="R22" s="14" t="n">
        <v>-5000</v>
      </c>
      <c r="S22" s="14" t="n">
        <v>13385</v>
      </c>
      <c r="T22" s="14" t="n">
        <v>100850</v>
      </c>
    </row>
    <row r="23">
      <c r="A23" s="14" t="n">
        <v>20</v>
      </c>
      <c r="B23" s="14" t="n">
        <v>2</v>
      </c>
      <c r="C23" s="14" t="n">
        <v>287</v>
      </c>
      <c r="D23" s="14" t="n">
        <v>160.1</v>
      </c>
      <c r="E23" s="14" t="n">
        <v>64</v>
      </c>
      <c r="F23" s="14" t="n">
        <v>10684</v>
      </c>
      <c r="G23" s="14" t="n">
        <v>3319</v>
      </c>
      <c r="H23" s="14" t="n">
        <v>951</v>
      </c>
      <c r="I23" s="14" t="n">
        <v>4046</v>
      </c>
      <c r="J23" s="14" t="n">
        <v>661</v>
      </c>
      <c r="K23" s="14" t="n">
        <v>19661</v>
      </c>
      <c r="L23" s="14" t="n">
        <v>-1500</v>
      </c>
      <c r="M23" s="14" t="n">
        <v>-1500</v>
      </c>
      <c r="N23" s="14" t="n">
        <v>-1500</v>
      </c>
      <c r="O23" s="14" t="n">
        <v>0</v>
      </c>
      <c r="P23" s="14" t="n">
        <v>0</v>
      </c>
      <c r="Q23" s="14" t="n">
        <v>-500</v>
      </c>
      <c r="R23" s="14" t="n">
        <v>-5000</v>
      </c>
      <c r="S23" s="14" t="n">
        <v>14661</v>
      </c>
      <c r="T23" s="14" t="n">
        <v>115511</v>
      </c>
    </row>
    <row r="24">
      <c r="A24" s="14" t="n">
        <v>21</v>
      </c>
      <c r="B24" s="14" t="n">
        <v>2</v>
      </c>
      <c r="C24" s="14" t="n">
        <v>300</v>
      </c>
      <c r="D24" s="14" t="n">
        <v>168</v>
      </c>
      <c r="E24" s="14" t="n">
        <v>67.2</v>
      </c>
      <c r="F24" s="14" t="n">
        <v>11168</v>
      </c>
      <c r="G24" s="14" t="n">
        <v>3484</v>
      </c>
      <c r="H24" s="14" t="n">
        <v>999</v>
      </c>
      <c r="I24" s="14" t="n">
        <v>4472</v>
      </c>
      <c r="J24" s="14" t="n">
        <v>812</v>
      </c>
      <c r="K24" s="14" t="n">
        <v>20935</v>
      </c>
      <c r="L24" s="14" t="n">
        <v>-1500</v>
      </c>
      <c r="M24" s="14" t="n">
        <v>-1500</v>
      </c>
      <c r="N24" s="14" t="n">
        <v>-1500</v>
      </c>
      <c r="O24" s="14" t="n">
        <v>0</v>
      </c>
      <c r="P24" s="14" t="n">
        <v>0</v>
      </c>
      <c r="Q24" s="14" t="n">
        <v>-500</v>
      </c>
      <c r="R24" s="14" t="n">
        <v>-5000</v>
      </c>
      <c r="S24" s="14" t="n">
        <v>15935</v>
      </c>
      <c r="T24" s="14" t="n">
        <v>131446</v>
      </c>
    </row>
    <row r="25">
      <c r="A25" s="14" t="n">
        <v>22</v>
      </c>
      <c r="B25" s="14" t="n">
        <v>2</v>
      </c>
      <c r="C25" s="14" t="n">
        <v>313</v>
      </c>
      <c r="D25" s="14" t="n">
        <v>175.9</v>
      </c>
      <c r="E25" s="14" t="n">
        <v>70.40000000000001</v>
      </c>
      <c r="F25" s="14" t="n">
        <v>11652</v>
      </c>
      <c r="G25" s="14" t="n">
        <v>3650</v>
      </c>
      <c r="H25" s="14" t="n">
        <v>1046</v>
      </c>
      <c r="I25" s="14" t="n">
        <v>4918</v>
      </c>
      <c r="J25" s="14" t="n">
        <v>981</v>
      </c>
      <c r="K25" s="14" t="n">
        <v>22248</v>
      </c>
      <c r="L25" s="14" t="n">
        <v>-1500</v>
      </c>
      <c r="M25" s="14" t="n">
        <v>-1500</v>
      </c>
      <c r="N25" s="14" t="n">
        <v>-1500</v>
      </c>
      <c r="O25" s="14" t="n">
        <v>0</v>
      </c>
      <c r="P25" s="14" t="n">
        <v>0</v>
      </c>
      <c r="Q25" s="14" t="n">
        <v>-500</v>
      </c>
      <c r="R25" s="14" t="n">
        <v>-5000</v>
      </c>
      <c r="S25" s="14" t="n">
        <v>17248</v>
      </c>
      <c r="T25" s="14" t="n">
        <v>148694</v>
      </c>
    </row>
    <row r="26">
      <c r="A26" s="14" t="n">
        <v>23</v>
      </c>
      <c r="B26" s="14" t="n">
        <v>2</v>
      </c>
      <c r="C26" s="14" t="n">
        <v>327</v>
      </c>
      <c r="D26" s="14" t="n">
        <v>184.1</v>
      </c>
      <c r="E26" s="14" t="n">
        <v>73.59999999999999</v>
      </c>
      <c r="F26" s="14" t="n">
        <v>12174</v>
      </c>
      <c r="G26" s="14" t="n">
        <v>3819</v>
      </c>
      <c r="H26" s="14" t="n">
        <v>1095</v>
      </c>
      <c r="I26" s="14" t="n">
        <v>5386</v>
      </c>
      <c r="J26" s="14" t="n">
        <v>1169</v>
      </c>
      <c r="K26" s="14" t="n">
        <v>23641</v>
      </c>
      <c r="L26" s="14" t="n">
        <v>-1500</v>
      </c>
      <c r="M26" s="14" t="n">
        <v>-1500</v>
      </c>
      <c r="N26" s="14" t="n">
        <v>-1500</v>
      </c>
      <c r="O26" s="14" t="n">
        <v>0</v>
      </c>
      <c r="P26" s="14" t="n">
        <v>0</v>
      </c>
      <c r="Q26" s="14" t="n">
        <v>-500</v>
      </c>
      <c r="R26" s="14" t="n">
        <v>-5000</v>
      </c>
      <c r="S26" s="14" t="n">
        <v>18641</v>
      </c>
      <c r="T26" s="14" t="n">
        <v>167335</v>
      </c>
    </row>
    <row r="27">
      <c r="A27" s="15" t="n">
        <v>24</v>
      </c>
      <c r="B27" s="15" t="n">
        <v>2</v>
      </c>
      <c r="C27" s="15" t="n">
        <v>340</v>
      </c>
      <c r="D27" s="15" t="n">
        <v>192</v>
      </c>
      <c r="E27" s="15" t="n">
        <v>76.8</v>
      </c>
      <c r="F27" s="15" t="n">
        <v>12658</v>
      </c>
      <c r="G27" s="15" t="n">
        <v>3984</v>
      </c>
      <c r="H27" s="15" t="n">
        <v>1142</v>
      </c>
      <c r="I27" s="15" t="n">
        <v>5874</v>
      </c>
      <c r="J27" s="15" t="n">
        <v>1378</v>
      </c>
      <c r="K27" s="15" t="n">
        <v>25035</v>
      </c>
      <c r="L27" s="15" t="n">
        <v>-1500</v>
      </c>
      <c r="M27" s="15" t="n">
        <v>-1500</v>
      </c>
      <c r="N27" s="15" t="n">
        <v>-1500</v>
      </c>
      <c r="O27" s="15" t="n">
        <v>0</v>
      </c>
      <c r="P27" s="15" t="n">
        <v>0</v>
      </c>
      <c r="Q27" s="15" t="n">
        <v>-500</v>
      </c>
      <c r="R27" s="15" t="n">
        <v>-5000</v>
      </c>
      <c r="S27" s="15" t="n">
        <v>20035</v>
      </c>
      <c r="T27" s="15" t="n">
        <v>187371</v>
      </c>
    </row>
    <row r="28">
      <c r="A28" s="14" t="n">
        <v>25</v>
      </c>
      <c r="B28" s="14" t="n">
        <v>3</v>
      </c>
      <c r="C28" s="14" t="n">
        <v>353</v>
      </c>
      <c r="D28" s="14" t="n">
        <v>199.9</v>
      </c>
      <c r="E28" s="14" t="n">
        <v>80</v>
      </c>
      <c r="F28" s="14" t="n">
        <v>13141</v>
      </c>
      <c r="G28" s="14" t="n">
        <v>4150</v>
      </c>
      <c r="H28" s="14" t="n">
        <v>1190</v>
      </c>
      <c r="I28" s="14" t="n">
        <v>6381</v>
      </c>
      <c r="J28" s="14" t="n">
        <v>1608</v>
      </c>
      <c r="K28" s="14" t="n">
        <v>26471</v>
      </c>
      <c r="L28" s="14" t="n">
        <v>-2500</v>
      </c>
      <c r="M28" s="14" t="n">
        <v>-2000</v>
      </c>
      <c r="N28" s="14" t="n">
        <v>-3000</v>
      </c>
      <c r="O28" s="14" t="n">
        <v>0</v>
      </c>
      <c r="P28" s="14" t="n">
        <v>0</v>
      </c>
      <c r="Q28" s="14" t="n">
        <v>-500</v>
      </c>
      <c r="R28" s="14" t="n">
        <v>-8000</v>
      </c>
      <c r="S28" s="14" t="n">
        <v>18471</v>
      </c>
      <c r="T28" s="14" t="n">
        <v>205842</v>
      </c>
    </row>
    <row r="29">
      <c r="A29" s="14" t="n">
        <v>26</v>
      </c>
      <c r="B29" s="14" t="n">
        <v>3</v>
      </c>
      <c r="C29" s="14" t="n">
        <v>367</v>
      </c>
      <c r="D29" s="14" t="n">
        <v>208.1</v>
      </c>
      <c r="E29" s="14" t="n">
        <v>83.2</v>
      </c>
      <c r="F29" s="14" t="n">
        <v>13663</v>
      </c>
      <c r="G29" s="14" t="n">
        <v>4318</v>
      </c>
      <c r="H29" s="14" t="n">
        <v>1238</v>
      </c>
      <c r="I29" s="14" t="n">
        <v>6910</v>
      </c>
      <c r="J29" s="14" t="n">
        <v>1860</v>
      </c>
      <c r="K29" s="14" t="n">
        <v>27990</v>
      </c>
      <c r="L29" s="14" t="n">
        <v>-2500</v>
      </c>
      <c r="M29" s="14" t="n">
        <v>-2000</v>
      </c>
      <c r="N29" s="14" t="n">
        <v>-3000</v>
      </c>
      <c r="O29" s="14" t="n">
        <v>0</v>
      </c>
      <c r="P29" s="14" t="n">
        <v>0</v>
      </c>
      <c r="Q29" s="14" t="n">
        <v>-500</v>
      </c>
      <c r="R29" s="14" t="n">
        <v>-8000</v>
      </c>
      <c r="S29" s="14" t="n">
        <v>19990</v>
      </c>
      <c r="T29" s="14" t="n">
        <v>225831</v>
      </c>
    </row>
    <row r="30">
      <c r="A30" s="14" t="n">
        <v>27</v>
      </c>
      <c r="B30" s="14" t="n">
        <v>3</v>
      </c>
      <c r="C30" s="14" t="n">
        <v>380</v>
      </c>
      <c r="D30" s="14" t="n">
        <v>216</v>
      </c>
      <c r="E30" s="14" t="n">
        <v>86.40000000000001</v>
      </c>
      <c r="F30" s="14" t="n">
        <v>14147</v>
      </c>
      <c r="G30" s="14" t="n">
        <v>4484</v>
      </c>
      <c r="H30" s="14" t="n">
        <v>1286</v>
      </c>
      <c r="I30" s="14" t="n">
        <v>7459</v>
      </c>
      <c r="J30" s="14" t="n">
        <v>2136</v>
      </c>
      <c r="K30" s="14" t="n">
        <v>29511</v>
      </c>
      <c r="L30" s="14" t="n">
        <v>-2500</v>
      </c>
      <c r="M30" s="14" t="n">
        <v>-2000</v>
      </c>
      <c r="N30" s="14" t="n">
        <v>-3000</v>
      </c>
      <c r="O30" s="14" t="n">
        <v>0</v>
      </c>
      <c r="P30" s="14" t="n">
        <v>0</v>
      </c>
      <c r="Q30" s="14" t="n">
        <v>-500</v>
      </c>
      <c r="R30" s="14" t="n">
        <v>-8000</v>
      </c>
      <c r="S30" s="14" t="n">
        <v>21511</v>
      </c>
      <c r="T30" s="14" t="n">
        <v>247342</v>
      </c>
    </row>
    <row r="31">
      <c r="A31" s="14" t="n">
        <v>28</v>
      </c>
      <c r="B31" s="14" t="n">
        <v>3</v>
      </c>
      <c r="C31" s="14" t="n">
        <v>393</v>
      </c>
      <c r="D31" s="14" t="n">
        <v>223.9</v>
      </c>
      <c r="E31" s="14" t="n">
        <v>89.59999999999999</v>
      </c>
      <c r="F31" s="14" t="n">
        <v>14631</v>
      </c>
      <c r="G31" s="14" t="n">
        <v>4650</v>
      </c>
      <c r="H31" s="14" t="n">
        <v>1333</v>
      </c>
      <c r="I31" s="14" t="n">
        <v>8026</v>
      </c>
      <c r="J31" s="14" t="n">
        <v>2435</v>
      </c>
      <c r="K31" s="14" t="n">
        <v>31075</v>
      </c>
      <c r="L31" s="14" t="n">
        <v>-2500</v>
      </c>
      <c r="M31" s="14" t="n">
        <v>-2000</v>
      </c>
      <c r="N31" s="14" t="n">
        <v>-3000</v>
      </c>
      <c r="O31" s="14" t="n">
        <v>0</v>
      </c>
      <c r="P31" s="14" t="n">
        <v>0</v>
      </c>
      <c r="Q31" s="14" t="n">
        <v>-500</v>
      </c>
      <c r="R31" s="14" t="n">
        <v>-8000</v>
      </c>
      <c r="S31" s="14" t="n">
        <v>23075</v>
      </c>
      <c r="T31" s="14" t="n">
        <v>270417</v>
      </c>
    </row>
    <row r="32">
      <c r="A32" s="14" t="n">
        <v>29</v>
      </c>
      <c r="B32" s="14" t="n">
        <v>3</v>
      </c>
      <c r="C32" s="14" t="n">
        <v>407</v>
      </c>
      <c r="D32" s="14" t="n">
        <v>232.1</v>
      </c>
      <c r="E32" s="14" t="n">
        <v>92.8</v>
      </c>
      <c r="F32" s="14" t="n">
        <v>15152</v>
      </c>
      <c r="G32" s="14" t="n">
        <v>4818</v>
      </c>
      <c r="H32" s="14" t="n">
        <v>1382</v>
      </c>
      <c r="I32" s="14" t="n">
        <v>8615</v>
      </c>
      <c r="J32" s="14" t="n">
        <v>2759</v>
      </c>
      <c r="K32" s="14" t="n">
        <v>32725</v>
      </c>
      <c r="L32" s="14" t="n">
        <v>-2500</v>
      </c>
      <c r="M32" s="14" t="n">
        <v>-2000</v>
      </c>
      <c r="N32" s="14" t="n">
        <v>-3000</v>
      </c>
      <c r="O32" s="14" t="n">
        <v>0</v>
      </c>
      <c r="P32" s="14" t="n">
        <v>0</v>
      </c>
      <c r="Q32" s="14" t="n">
        <v>-500</v>
      </c>
      <c r="R32" s="14" t="n">
        <v>-8000</v>
      </c>
      <c r="S32" s="14" t="n">
        <v>24725</v>
      </c>
      <c r="T32" s="14" t="n">
        <v>295143</v>
      </c>
    </row>
    <row r="33">
      <c r="A33" s="14" t="n">
        <v>30</v>
      </c>
      <c r="B33" s="14" t="n">
        <v>3</v>
      </c>
      <c r="C33" s="14" t="n">
        <v>420</v>
      </c>
      <c r="D33" s="14" t="n">
        <v>240</v>
      </c>
      <c r="E33" s="14" t="n">
        <v>96</v>
      </c>
      <c r="F33" s="14" t="n">
        <v>15636</v>
      </c>
      <c r="G33" s="14" t="n">
        <v>4984</v>
      </c>
      <c r="H33" s="14" t="n">
        <v>1429</v>
      </c>
      <c r="I33" s="14" t="n">
        <v>9222</v>
      </c>
      <c r="J33" s="14" t="n">
        <v>3109</v>
      </c>
      <c r="K33" s="14" t="n">
        <v>34380</v>
      </c>
      <c r="L33" s="14" t="n">
        <v>-2500</v>
      </c>
      <c r="M33" s="14" t="n">
        <v>-2000</v>
      </c>
      <c r="N33" s="14" t="n">
        <v>-3000</v>
      </c>
      <c r="O33" s="14" t="n">
        <v>0</v>
      </c>
      <c r="P33" s="14" t="n">
        <v>0</v>
      </c>
      <c r="Q33" s="14" t="n">
        <v>-500</v>
      </c>
      <c r="R33" s="14" t="n">
        <v>-8000</v>
      </c>
      <c r="S33" s="14" t="n">
        <v>26380</v>
      </c>
      <c r="T33" s="14" t="n">
        <v>321522</v>
      </c>
    </row>
    <row r="34">
      <c r="A34" s="14" t="n">
        <v>31</v>
      </c>
      <c r="B34" s="14" t="n">
        <v>3</v>
      </c>
      <c r="C34" s="14" t="n">
        <v>433</v>
      </c>
      <c r="D34" s="14" t="n">
        <v>247.9</v>
      </c>
      <c r="E34" s="14" t="n">
        <v>99.2</v>
      </c>
      <c r="F34" s="14" t="n">
        <v>16120</v>
      </c>
      <c r="G34" s="14" t="n">
        <v>5150</v>
      </c>
      <c r="H34" s="14" t="n">
        <v>1477</v>
      </c>
      <c r="I34" s="14" t="n">
        <v>9848</v>
      </c>
      <c r="J34" s="14" t="n">
        <v>3485</v>
      </c>
      <c r="K34" s="14" t="n">
        <v>36079</v>
      </c>
      <c r="L34" s="14" t="n">
        <v>-2500</v>
      </c>
      <c r="M34" s="14" t="n">
        <v>-2000</v>
      </c>
      <c r="N34" s="14" t="n">
        <v>-3000</v>
      </c>
      <c r="O34" s="14" t="n">
        <v>0</v>
      </c>
      <c r="P34" s="14" t="n">
        <v>0</v>
      </c>
      <c r="Q34" s="14" t="n">
        <v>-500</v>
      </c>
      <c r="R34" s="14" t="n">
        <v>-8000</v>
      </c>
      <c r="S34" s="14" t="n">
        <v>28079</v>
      </c>
      <c r="T34" s="14" t="n">
        <v>349602</v>
      </c>
    </row>
    <row r="35">
      <c r="A35" s="14" t="n">
        <v>32</v>
      </c>
      <c r="B35" s="14" t="n">
        <v>3</v>
      </c>
      <c r="C35" s="14" t="n">
        <v>447</v>
      </c>
      <c r="D35" s="14" t="n">
        <v>256.1</v>
      </c>
      <c r="E35" s="14" t="n">
        <v>102.4</v>
      </c>
      <c r="F35" s="14" t="n">
        <v>16641</v>
      </c>
      <c r="G35" s="14" t="n">
        <v>5318</v>
      </c>
      <c r="H35" s="14" t="n">
        <v>1525</v>
      </c>
      <c r="I35" s="14" t="n">
        <v>10494</v>
      </c>
      <c r="J35" s="14" t="n">
        <v>3888</v>
      </c>
      <c r="K35" s="14" t="n">
        <v>37866</v>
      </c>
      <c r="L35" s="14" t="n">
        <v>-2500</v>
      </c>
      <c r="M35" s="14" t="n">
        <v>-2000</v>
      </c>
      <c r="N35" s="14" t="n">
        <v>-3000</v>
      </c>
      <c r="O35" s="14" t="n">
        <v>0</v>
      </c>
      <c r="P35" s="14" t="n">
        <v>0</v>
      </c>
      <c r="Q35" s="14" t="n">
        <v>-500</v>
      </c>
      <c r="R35" s="14" t="n">
        <v>-8000</v>
      </c>
      <c r="S35" s="14" t="n">
        <v>29866</v>
      </c>
      <c r="T35" s="14" t="n">
        <v>379467</v>
      </c>
    </row>
    <row r="36">
      <c r="A36" s="14" t="n">
        <v>33</v>
      </c>
      <c r="B36" s="14" t="n">
        <v>3</v>
      </c>
      <c r="C36" s="14" t="n">
        <v>460</v>
      </c>
      <c r="D36" s="14" t="n">
        <v>264</v>
      </c>
      <c r="E36" s="14" t="n">
        <v>105.6</v>
      </c>
      <c r="F36" s="14" t="n">
        <v>17125</v>
      </c>
      <c r="G36" s="14" t="n">
        <v>5484</v>
      </c>
      <c r="H36" s="14" t="n">
        <v>1573</v>
      </c>
      <c r="I36" s="14" t="n">
        <v>11158</v>
      </c>
      <c r="J36" s="14" t="n">
        <v>4319</v>
      </c>
      <c r="K36" s="14" t="n">
        <v>39658</v>
      </c>
      <c r="L36" s="14" t="n">
        <v>-2500</v>
      </c>
      <c r="M36" s="14" t="n">
        <v>-2000</v>
      </c>
      <c r="N36" s="14" t="n">
        <v>-3000</v>
      </c>
      <c r="O36" s="14" t="n">
        <v>0</v>
      </c>
      <c r="P36" s="14" t="n">
        <v>0</v>
      </c>
      <c r="Q36" s="14" t="n">
        <v>-500</v>
      </c>
      <c r="R36" s="14" t="n">
        <v>-8000</v>
      </c>
      <c r="S36" s="14" t="n">
        <v>31658</v>
      </c>
      <c r="T36" s="14" t="n">
        <v>411126</v>
      </c>
    </row>
    <row r="37">
      <c r="A37" s="14" t="n">
        <v>34</v>
      </c>
      <c r="B37" s="14" t="n">
        <v>3</v>
      </c>
      <c r="C37" s="14" t="n">
        <v>473</v>
      </c>
      <c r="D37" s="14" t="n">
        <v>271.9</v>
      </c>
      <c r="E37" s="14" t="n">
        <v>108.8</v>
      </c>
      <c r="F37" s="14" t="n">
        <v>17609</v>
      </c>
      <c r="G37" s="14" t="n">
        <v>5650</v>
      </c>
      <c r="H37" s="14" t="n">
        <v>1620</v>
      </c>
      <c r="I37" s="14" t="n">
        <v>11840</v>
      </c>
      <c r="J37" s="14" t="n">
        <v>4778</v>
      </c>
      <c r="K37" s="14" t="n">
        <v>41497</v>
      </c>
      <c r="L37" s="14" t="n">
        <v>-2500</v>
      </c>
      <c r="M37" s="14" t="n">
        <v>-2000</v>
      </c>
      <c r="N37" s="14" t="n">
        <v>-3000</v>
      </c>
      <c r="O37" s="14" t="n">
        <v>0</v>
      </c>
      <c r="P37" s="14" t="n">
        <v>0</v>
      </c>
      <c r="Q37" s="14" t="n">
        <v>-500</v>
      </c>
      <c r="R37" s="14" t="n">
        <v>-8000</v>
      </c>
      <c r="S37" s="14" t="n">
        <v>33497</v>
      </c>
      <c r="T37" s="14" t="n">
        <v>444623</v>
      </c>
    </row>
    <row r="38">
      <c r="A38" s="14" t="n">
        <v>35</v>
      </c>
      <c r="B38" s="14" t="n">
        <v>3</v>
      </c>
      <c r="C38" s="14" t="n">
        <v>487</v>
      </c>
      <c r="D38" s="14" t="n">
        <v>280.1</v>
      </c>
      <c r="E38" s="14" t="n">
        <v>112</v>
      </c>
      <c r="F38" s="14" t="n">
        <v>18130</v>
      </c>
      <c r="G38" s="14" t="n">
        <v>5818</v>
      </c>
      <c r="H38" s="14" t="n">
        <v>1669</v>
      </c>
      <c r="I38" s="14" t="n">
        <v>12541</v>
      </c>
      <c r="J38" s="14" t="n">
        <v>5267</v>
      </c>
      <c r="K38" s="14" t="n">
        <v>43424</v>
      </c>
      <c r="L38" s="14" t="n">
        <v>-2500</v>
      </c>
      <c r="M38" s="14" t="n">
        <v>-2000</v>
      </c>
      <c r="N38" s="14" t="n">
        <v>-3000</v>
      </c>
      <c r="O38" s="14" t="n">
        <v>0</v>
      </c>
      <c r="P38" s="14" t="n">
        <v>0</v>
      </c>
      <c r="Q38" s="14" t="n">
        <v>-500</v>
      </c>
      <c r="R38" s="14" t="n">
        <v>-8000</v>
      </c>
      <c r="S38" s="14" t="n">
        <v>35424</v>
      </c>
      <c r="T38" s="14" t="n">
        <v>480047</v>
      </c>
    </row>
    <row r="39">
      <c r="A39" s="15" t="n">
        <v>36</v>
      </c>
      <c r="B39" s="15" t="n">
        <v>3</v>
      </c>
      <c r="C39" s="15" t="n">
        <v>500</v>
      </c>
      <c r="D39" s="15" t="n">
        <v>288</v>
      </c>
      <c r="E39" s="15" t="n">
        <v>115.2</v>
      </c>
      <c r="F39" s="15" t="n">
        <v>18614</v>
      </c>
      <c r="G39" s="15" t="n">
        <v>5984</v>
      </c>
      <c r="H39" s="15" t="n">
        <v>1716</v>
      </c>
      <c r="I39" s="15" t="n">
        <v>13259</v>
      </c>
      <c r="J39" s="15" t="n">
        <v>5785</v>
      </c>
      <c r="K39" s="15" t="n">
        <v>45358</v>
      </c>
      <c r="L39" s="15" t="n">
        <v>-2500</v>
      </c>
      <c r="M39" s="15" t="n">
        <v>-2000</v>
      </c>
      <c r="N39" s="15" t="n">
        <v>-3000</v>
      </c>
      <c r="O39" s="15" t="n">
        <v>0</v>
      </c>
      <c r="P39" s="15" t="n">
        <v>0</v>
      </c>
      <c r="Q39" s="15" t="n">
        <v>-500</v>
      </c>
      <c r="R39" s="15" t="n">
        <v>-8000</v>
      </c>
      <c r="S39" s="15" t="n">
        <v>37358</v>
      </c>
      <c r="T39" s="15" t="n">
        <v>517406</v>
      </c>
    </row>
    <row r="40"/>
    <row r="41"/>
    <row r="42">
      <c r="A42" s="16" t="inlineStr">
        <is>
          <t>ANCHOR vs v2 doc</t>
        </is>
      </c>
    </row>
    <row r="43">
      <c r="A43" s="2" t="inlineStr">
        <is>
          <t>Bottom-up cum cash M12</t>
        </is>
      </c>
      <c r="B43" s="14" t="n">
        <v>31236</v>
      </c>
      <c r="C43" s="17" t="inlineStr">
        <is>
          <t>Doc target</t>
        </is>
      </c>
      <c r="D43" s="14" t="n">
        <v>42526</v>
      </c>
      <c r="E43" s="17" t="inlineStr">
        <is>
          <t>Plug</t>
        </is>
      </c>
      <c r="F43" s="14" t="n">
        <v>11290</v>
      </c>
    </row>
    <row r="44">
      <c r="A44" s="2" t="inlineStr">
        <is>
          <t>Bottom-up cum cash M24</t>
        </is>
      </c>
      <c r="B44" s="14" t="n">
        <v>187371</v>
      </c>
      <c r="D44" s="14" t="n">
        <v>401333</v>
      </c>
      <c r="F44" s="14" t="n">
        <v>213962</v>
      </c>
    </row>
    <row r="45">
      <c r="A45" s="2" t="inlineStr">
        <is>
          <t>Bottom-up cum cash M36</t>
        </is>
      </c>
      <c r="B45" s="14" t="n">
        <v>517406</v>
      </c>
      <c r="D45" s="14" t="n">
        <v>1276117</v>
      </c>
      <c r="F45" s="14" t="n">
        <v>758711</v>
      </c>
    </row>
    <row r="46">
      <c r="A46" s="2" t="inlineStr">
        <is>
          <t>Bottom-up M36 net (monthly)</t>
        </is>
      </c>
      <c r="B46" s="14" t="n">
        <v>37358</v>
      </c>
      <c r="D46" s="14" t="n">
        <v>97718</v>
      </c>
      <c r="F46" s="14" t="n">
        <v>60360</v>
      </c>
    </row>
    <row r="47"/>
    <row r="48">
      <c r="A48" s="18" t="inlineStr">
        <is>
          <t>Plug interpretation: positive plug = bottom-up model UNDERSHOOTS the doc target. Likely drivers to tune: DS conversion (currently 15%), tenure (4 mo), retest cadence, intercompany %. Negative plug = bottom-up OVERSHOOTS the doc — likely missing a cost line.</t>
        </is>
      </c>
    </row>
  </sheetData>
  <mergeCells count="1">
    <mergeCell ref="A48:J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1" customWidth="1" min="4" max="4"/>
    <col width="13" customWidth="1" min="5" max="5"/>
    <col width="11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9" t="inlineStr">
        <is>
          <t>Andro Prime Ltd — Monthly P&amp;L — v2 gate FAIL</t>
        </is>
      </c>
    </row>
    <row r="2"/>
    <row r="3">
      <c r="A3" s="6" t="inlineStr">
        <is>
          <t>Month</t>
        </is>
      </c>
      <c r="B3" s="6" t="inlineStr">
        <is>
          <t>Year</t>
        </is>
      </c>
      <c r="C3" s="6" t="inlineStr">
        <is>
          <t>New cust</t>
        </is>
      </c>
      <c r="D3" s="6" t="inlineStr">
        <is>
          <t>Active DS</t>
        </is>
      </c>
      <c r="E3" s="6" t="inlineStr">
        <is>
          <t>Active Coll</t>
        </is>
      </c>
      <c r="F3" s="6" t="inlineStr">
        <is>
          <t>Kit gross</t>
        </is>
      </c>
      <c r="G3" s="6" t="inlineStr">
        <is>
          <t>DS net</t>
        </is>
      </c>
      <c r="H3" s="6" t="inlineStr">
        <is>
          <t>Coll net</t>
        </is>
      </c>
      <c r="I3" s="6" t="inlineStr">
        <is>
          <t>Retest net</t>
        </is>
      </c>
      <c r="J3" s="6" t="inlineStr">
        <is>
          <t>Interco in</t>
        </is>
      </c>
      <c r="K3" s="6" t="inlineStr">
        <is>
          <t>Revenue</t>
        </is>
      </c>
      <c r="L3" s="6" t="inlineStr">
        <is>
          <t>Overhead</t>
        </is>
      </c>
      <c r="M3" s="6" t="inlineStr">
        <is>
          <t>Ewa</t>
        </is>
      </c>
      <c r="N3" s="6" t="inlineStr">
        <is>
          <t>Paid media</t>
        </is>
      </c>
      <c r="O3" s="6" t="inlineStr">
        <is>
          <t>Tracker</t>
        </is>
      </c>
      <c r="P3" s="6" t="inlineStr">
        <is>
          <t>PT costs</t>
        </is>
      </c>
      <c r="Q3" s="6" t="inlineStr">
        <is>
          <t>Content</t>
        </is>
      </c>
      <c r="R3" s="6" t="inlineStr">
        <is>
          <t>OpEx</t>
        </is>
      </c>
      <c r="S3" s="6" t="inlineStr">
        <is>
          <t>Net</t>
        </is>
      </c>
      <c r="T3" s="6" t="inlineStr">
        <is>
          <t>Cum cash</t>
        </is>
      </c>
    </row>
    <row r="4">
      <c r="A4" s="14" t="n">
        <v>1</v>
      </c>
      <c r="B4" s="14" t="n">
        <v>1</v>
      </c>
      <c r="C4" s="14" t="n">
        <v>24</v>
      </c>
      <c r="D4" s="14" t="n">
        <v>3.6</v>
      </c>
      <c r="E4" s="14" t="n">
        <v>1.4</v>
      </c>
      <c r="F4" s="14" t="n">
        <v>893</v>
      </c>
      <c r="G4" s="14" t="n">
        <v>61</v>
      </c>
      <c r="H4" s="14" t="n">
        <v>16</v>
      </c>
      <c r="I4" s="14" t="n">
        <v>0</v>
      </c>
      <c r="J4" s="14" t="n">
        <v>0</v>
      </c>
      <c r="K4" s="14" t="n">
        <v>971</v>
      </c>
      <c r="L4" s="14" t="n">
        <v>-593</v>
      </c>
      <c r="M4" s="14" t="n">
        <v>-1000</v>
      </c>
      <c r="N4" s="14" t="n">
        <v>0</v>
      </c>
      <c r="O4" s="14" t="n">
        <v>0</v>
      </c>
      <c r="P4" s="14" t="n">
        <v>-2750</v>
      </c>
      <c r="Q4" s="14" t="n">
        <v>0</v>
      </c>
      <c r="R4" s="14" t="n">
        <v>-4343</v>
      </c>
      <c r="S4" s="14" t="n">
        <v>-3372</v>
      </c>
      <c r="T4" s="14" t="n">
        <v>-3372</v>
      </c>
    </row>
    <row r="5">
      <c r="A5" s="14" t="n">
        <v>2</v>
      </c>
      <c r="B5" s="14" t="n">
        <v>1</v>
      </c>
      <c r="C5" s="14" t="n">
        <v>42</v>
      </c>
      <c r="D5" s="14" t="n">
        <v>9.9</v>
      </c>
      <c r="E5" s="14" t="n">
        <v>4</v>
      </c>
      <c r="F5" s="14" t="n">
        <v>1564</v>
      </c>
      <c r="G5" s="14" t="n">
        <v>187</v>
      </c>
      <c r="H5" s="14" t="n">
        <v>52</v>
      </c>
      <c r="I5" s="14" t="n">
        <v>0</v>
      </c>
      <c r="J5" s="14" t="n">
        <v>0</v>
      </c>
      <c r="K5" s="14" t="n">
        <v>1802</v>
      </c>
      <c r="L5" s="14" t="n">
        <v>-593</v>
      </c>
      <c r="M5" s="14" t="n">
        <v>-1000</v>
      </c>
      <c r="N5" s="14" t="n">
        <v>0</v>
      </c>
      <c r="O5" s="14" t="n">
        <v>0</v>
      </c>
      <c r="P5" s="14" t="n">
        <v>-700</v>
      </c>
      <c r="Q5" s="14" t="n">
        <v>0</v>
      </c>
      <c r="R5" s="14" t="n">
        <v>-2293</v>
      </c>
      <c r="S5" s="14" t="n">
        <v>-491</v>
      </c>
      <c r="T5" s="14" t="n">
        <v>-3863</v>
      </c>
    </row>
    <row r="6">
      <c r="A6" s="14" t="n">
        <v>3</v>
      </c>
      <c r="B6" s="14" t="n">
        <v>1</v>
      </c>
      <c r="C6" s="14" t="n">
        <v>66</v>
      </c>
      <c r="D6" s="14" t="n">
        <v>19.8</v>
      </c>
      <c r="E6" s="14" t="n">
        <v>7.9</v>
      </c>
      <c r="F6" s="14" t="n">
        <v>2457</v>
      </c>
      <c r="G6" s="14" t="n">
        <v>388</v>
      </c>
      <c r="H6" s="14" t="n">
        <v>109</v>
      </c>
      <c r="I6" s="14" t="n">
        <v>0</v>
      </c>
      <c r="J6" s="14" t="n">
        <v>0</v>
      </c>
      <c r="K6" s="14" t="n">
        <v>2953</v>
      </c>
      <c r="L6" s="14" t="n">
        <v>-593</v>
      </c>
      <c r="M6" s="14" t="n">
        <v>-1000</v>
      </c>
      <c r="N6" s="14" t="n">
        <v>0</v>
      </c>
      <c r="O6" s="14" t="n">
        <v>-4000</v>
      </c>
      <c r="P6" s="14" t="n">
        <v>-1700</v>
      </c>
      <c r="Q6" s="14" t="n">
        <v>0</v>
      </c>
      <c r="R6" s="14" t="n">
        <v>-7293</v>
      </c>
      <c r="S6" s="14" t="n">
        <v>-4340</v>
      </c>
      <c r="T6" s="14" t="n">
        <v>-8202</v>
      </c>
    </row>
    <row r="7">
      <c r="A7" s="14" t="n">
        <v>4</v>
      </c>
      <c r="B7" s="14" t="n">
        <v>1</v>
      </c>
      <c r="C7" s="14" t="n">
        <v>90</v>
      </c>
      <c r="D7" s="14" t="n">
        <v>33.3</v>
      </c>
      <c r="E7" s="14" t="n">
        <v>13.3</v>
      </c>
      <c r="F7" s="14" t="n">
        <v>3351</v>
      </c>
      <c r="G7" s="14" t="n">
        <v>668</v>
      </c>
      <c r="H7" s="14" t="n">
        <v>189</v>
      </c>
      <c r="I7" s="14" t="n">
        <v>0</v>
      </c>
      <c r="J7" s="14" t="n">
        <v>0</v>
      </c>
      <c r="K7" s="14" t="n">
        <v>4207</v>
      </c>
      <c r="L7" s="14" t="n">
        <v>-593</v>
      </c>
      <c r="M7" s="14" t="n">
        <v>-1000</v>
      </c>
      <c r="N7" s="14" t="n">
        <v>0</v>
      </c>
      <c r="O7" s="14" t="n">
        <v>-4000</v>
      </c>
      <c r="P7" s="14" t="n">
        <v>-700</v>
      </c>
      <c r="Q7" s="14" t="n">
        <v>0</v>
      </c>
      <c r="R7" s="14" t="n">
        <v>-6293</v>
      </c>
      <c r="S7" s="14" t="n">
        <v>-2086</v>
      </c>
      <c r="T7" s="14" t="n">
        <v>-10288</v>
      </c>
    </row>
    <row r="8">
      <c r="A8" s="14" t="n">
        <v>5</v>
      </c>
      <c r="B8" s="14" t="n">
        <v>1</v>
      </c>
      <c r="C8" s="14" t="n">
        <v>108</v>
      </c>
      <c r="D8" s="14" t="n">
        <v>45.9</v>
      </c>
      <c r="E8" s="14" t="n">
        <v>18.4</v>
      </c>
      <c r="F8" s="14" t="n">
        <v>4021</v>
      </c>
      <c r="G8" s="14" t="n">
        <v>932</v>
      </c>
      <c r="H8" s="14" t="n">
        <v>265</v>
      </c>
      <c r="I8" s="14" t="n">
        <v>22</v>
      </c>
      <c r="J8" s="14" t="n">
        <v>0</v>
      </c>
      <c r="K8" s="14" t="n">
        <v>5240</v>
      </c>
      <c r="L8" s="14" t="n">
        <v>-593</v>
      </c>
      <c r="M8" s="14" t="n">
        <v>-1000</v>
      </c>
      <c r="N8" s="14" t="n">
        <v>0</v>
      </c>
      <c r="O8" s="14" t="n">
        <v>0</v>
      </c>
      <c r="P8" s="14" t="n">
        <v>-700</v>
      </c>
      <c r="Q8" s="14" t="n">
        <v>0</v>
      </c>
      <c r="R8" s="14" t="n">
        <v>-2293</v>
      </c>
      <c r="S8" s="14" t="n">
        <v>2947</v>
      </c>
      <c r="T8" s="14" t="n">
        <v>-7341</v>
      </c>
    </row>
    <row r="9">
      <c r="A9" s="14" t="n">
        <v>6</v>
      </c>
      <c r="B9" s="14" t="n">
        <v>1</v>
      </c>
      <c r="C9" s="14" t="n">
        <v>120</v>
      </c>
      <c r="D9" s="14" t="n">
        <v>57.6</v>
      </c>
      <c r="E9" s="14" t="n">
        <v>23</v>
      </c>
      <c r="F9" s="14" t="n">
        <v>4467</v>
      </c>
      <c r="G9" s="14" t="n">
        <v>1182</v>
      </c>
      <c r="H9" s="14" t="n">
        <v>337</v>
      </c>
      <c r="I9" s="14" t="n">
        <v>71</v>
      </c>
      <c r="J9" s="14" t="n">
        <v>0</v>
      </c>
      <c r="K9" s="14" t="n">
        <v>6057</v>
      </c>
      <c r="L9" s="14" t="n">
        <v>-593</v>
      </c>
      <c r="M9" s="14" t="n">
        <v>-1000</v>
      </c>
      <c r="N9" s="14" t="n">
        <v>0</v>
      </c>
      <c r="O9" s="14" t="n">
        <v>0</v>
      </c>
      <c r="P9" s="14" t="n">
        <v>-3700</v>
      </c>
      <c r="Q9" s="14" t="n">
        <v>0</v>
      </c>
      <c r="R9" s="14" t="n">
        <v>-5293</v>
      </c>
      <c r="S9" s="14" t="n">
        <v>764</v>
      </c>
      <c r="T9" s="14" t="n">
        <v>-6577</v>
      </c>
    </row>
    <row r="10">
      <c r="A10" s="14" t="n">
        <v>7</v>
      </c>
      <c r="B10" s="14" t="n">
        <v>1</v>
      </c>
      <c r="C10" s="14" t="n">
        <v>130</v>
      </c>
      <c r="D10" s="14" t="n">
        <v>67.2</v>
      </c>
      <c r="E10" s="14" t="n">
        <v>26.9</v>
      </c>
      <c r="F10" s="14" t="n">
        <v>4840</v>
      </c>
      <c r="G10" s="14" t="n">
        <v>1386</v>
      </c>
      <c r="H10" s="14" t="n">
        <v>396</v>
      </c>
      <c r="I10" s="14" t="n">
        <v>151</v>
      </c>
      <c r="J10" s="14" t="n">
        <v>0</v>
      </c>
      <c r="K10" s="14" t="n">
        <v>6774</v>
      </c>
      <c r="L10" s="14" t="n">
        <v>-593</v>
      </c>
      <c r="M10" s="14" t="n">
        <v>-1000</v>
      </c>
      <c r="N10" s="14" t="n">
        <v>0</v>
      </c>
      <c r="O10" s="14" t="n">
        <v>0</v>
      </c>
      <c r="P10" s="14" t="n">
        <v>-700</v>
      </c>
      <c r="Q10" s="14" t="n">
        <v>0</v>
      </c>
      <c r="R10" s="14" t="n">
        <v>-2293</v>
      </c>
      <c r="S10" s="14" t="n">
        <v>4481</v>
      </c>
      <c r="T10" s="14" t="n">
        <v>-2097</v>
      </c>
    </row>
    <row r="11">
      <c r="A11" s="14" t="n">
        <v>8</v>
      </c>
      <c r="B11" s="14" t="n">
        <v>1</v>
      </c>
      <c r="C11" s="14" t="n">
        <v>140</v>
      </c>
      <c r="D11" s="14" t="n">
        <v>74.7</v>
      </c>
      <c r="E11" s="14" t="n">
        <v>29.9</v>
      </c>
      <c r="F11" s="14" t="n">
        <v>5212</v>
      </c>
      <c r="G11" s="14" t="n">
        <v>1544</v>
      </c>
      <c r="H11" s="14" t="n">
        <v>442</v>
      </c>
      <c r="I11" s="14" t="n">
        <v>268</v>
      </c>
      <c r="J11" s="14" t="n">
        <v>0</v>
      </c>
      <c r="K11" s="14" t="n">
        <v>7466</v>
      </c>
      <c r="L11" s="14" t="n">
        <v>-593</v>
      </c>
      <c r="M11" s="14" t="n">
        <v>-1000</v>
      </c>
      <c r="N11" s="14" t="n">
        <v>0</v>
      </c>
      <c r="O11" s="14" t="n">
        <v>0</v>
      </c>
      <c r="P11" s="14" t="n">
        <v>-700</v>
      </c>
      <c r="Q11" s="14" t="n">
        <v>0</v>
      </c>
      <c r="R11" s="14" t="n">
        <v>-2293</v>
      </c>
      <c r="S11" s="14" t="n">
        <v>5173</v>
      </c>
      <c r="T11" s="14" t="n">
        <v>3077</v>
      </c>
    </row>
    <row r="12">
      <c r="A12" s="14" t="n">
        <v>9</v>
      </c>
      <c r="B12" s="14" t="n">
        <v>1</v>
      </c>
      <c r="C12" s="14" t="n">
        <v>150</v>
      </c>
      <c r="D12" s="14" t="n">
        <v>81</v>
      </c>
      <c r="E12" s="14" t="n">
        <v>32.4</v>
      </c>
      <c r="F12" s="14" t="n">
        <v>5584</v>
      </c>
      <c r="G12" s="14" t="n">
        <v>1676</v>
      </c>
      <c r="H12" s="14" t="n">
        <v>480</v>
      </c>
      <c r="I12" s="14" t="n">
        <v>426</v>
      </c>
      <c r="J12" s="14" t="n">
        <v>0</v>
      </c>
      <c r="K12" s="14" t="n">
        <v>8166</v>
      </c>
      <c r="L12" s="14" t="n">
        <v>-593</v>
      </c>
      <c r="M12" s="14" t="n">
        <v>-1000</v>
      </c>
      <c r="N12" s="14" t="n">
        <v>0</v>
      </c>
      <c r="O12" s="14" t="n">
        <v>0</v>
      </c>
      <c r="P12" s="14" t="n">
        <v>-700</v>
      </c>
      <c r="Q12" s="14" t="n">
        <v>0</v>
      </c>
      <c r="R12" s="14" t="n">
        <v>-2293</v>
      </c>
      <c r="S12" s="14" t="n">
        <v>5873</v>
      </c>
      <c r="T12" s="14" t="n">
        <v>8950</v>
      </c>
    </row>
    <row r="13">
      <c r="A13" s="14" t="n">
        <v>10</v>
      </c>
      <c r="B13" s="14" t="n">
        <v>1</v>
      </c>
      <c r="C13" s="14" t="n">
        <v>160</v>
      </c>
      <c r="D13" s="14" t="n">
        <v>87</v>
      </c>
      <c r="E13" s="14" t="n">
        <v>34.8</v>
      </c>
      <c r="F13" s="14" t="n">
        <v>5956</v>
      </c>
      <c r="G13" s="14" t="n">
        <v>1801</v>
      </c>
      <c r="H13" s="14" t="n">
        <v>516</v>
      </c>
      <c r="I13" s="14" t="n">
        <v>630</v>
      </c>
      <c r="J13" s="14" t="n">
        <v>0</v>
      </c>
      <c r="K13" s="14" t="n">
        <v>8903</v>
      </c>
      <c r="L13" s="14" t="n">
        <v>-593</v>
      </c>
      <c r="M13" s="14" t="n">
        <v>-1000</v>
      </c>
      <c r="N13" s="14" t="n">
        <v>0</v>
      </c>
      <c r="O13" s="14" t="n">
        <v>0</v>
      </c>
      <c r="P13" s="14" t="n">
        <v>-700</v>
      </c>
      <c r="Q13" s="14" t="n">
        <v>0</v>
      </c>
      <c r="R13" s="14" t="n">
        <v>-2293</v>
      </c>
      <c r="S13" s="14" t="n">
        <v>6610</v>
      </c>
      <c r="T13" s="14" t="n">
        <v>15560</v>
      </c>
    </row>
    <row r="14">
      <c r="A14" s="14" t="n">
        <v>11</v>
      </c>
      <c r="B14" s="14" t="n">
        <v>1</v>
      </c>
      <c r="C14" s="14" t="n">
        <v>170</v>
      </c>
      <c r="D14" s="14" t="n">
        <v>93</v>
      </c>
      <c r="E14" s="14" t="n">
        <v>37.2</v>
      </c>
      <c r="F14" s="14" t="n">
        <v>6329</v>
      </c>
      <c r="G14" s="14" t="n">
        <v>1926</v>
      </c>
      <c r="H14" s="14" t="n">
        <v>552</v>
      </c>
      <c r="I14" s="14" t="n">
        <v>884</v>
      </c>
      <c r="J14" s="14" t="n">
        <v>0</v>
      </c>
      <c r="K14" s="14" t="n">
        <v>9691</v>
      </c>
      <c r="L14" s="14" t="n">
        <v>-593</v>
      </c>
      <c r="M14" s="14" t="n">
        <v>-1000</v>
      </c>
      <c r="N14" s="14" t="n">
        <v>0</v>
      </c>
      <c r="O14" s="14" t="n">
        <v>0</v>
      </c>
      <c r="P14" s="14" t="n">
        <v>-700</v>
      </c>
      <c r="Q14" s="14" t="n">
        <v>0</v>
      </c>
      <c r="R14" s="14" t="n">
        <v>-2293</v>
      </c>
      <c r="S14" s="14" t="n">
        <v>7398</v>
      </c>
      <c r="T14" s="14" t="n">
        <v>22957</v>
      </c>
    </row>
    <row r="15">
      <c r="A15" s="15" t="n">
        <v>12</v>
      </c>
      <c r="B15" s="15" t="n">
        <v>1</v>
      </c>
      <c r="C15" s="15" t="n">
        <v>180</v>
      </c>
      <c r="D15" s="15" t="n">
        <v>99</v>
      </c>
      <c r="E15" s="15" t="n">
        <v>39.6</v>
      </c>
      <c r="F15" s="15" t="n">
        <v>6701</v>
      </c>
      <c r="G15" s="15" t="n">
        <v>2051</v>
      </c>
      <c r="H15" s="15" t="n">
        <v>588</v>
      </c>
      <c r="I15" s="15" t="n">
        <v>1195</v>
      </c>
      <c r="J15" s="15" t="n">
        <v>0</v>
      </c>
      <c r="K15" s="15" t="n">
        <v>10535</v>
      </c>
      <c r="L15" s="15" t="n">
        <v>-593</v>
      </c>
      <c r="M15" s="15" t="n">
        <v>-1000</v>
      </c>
      <c r="N15" s="15" t="n">
        <v>0</v>
      </c>
      <c r="O15" s="15" t="n">
        <v>0</v>
      </c>
      <c r="P15" s="15" t="n">
        <v>-700</v>
      </c>
      <c r="Q15" s="15" t="n">
        <v>0</v>
      </c>
      <c r="R15" s="15" t="n">
        <v>-2293</v>
      </c>
      <c r="S15" s="15" t="n">
        <v>8242</v>
      </c>
      <c r="T15" s="15" t="n">
        <v>31199</v>
      </c>
    </row>
    <row r="16">
      <c r="A16" s="14" t="n">
        <v>13</v>
      </c>
      <c r="B16" s="14" t="n">
        <v>2</v>
      </c>
      <c r="C16" s="14" t="n">
        <v>193</v>
      </c>
      <c r="D16" s="14" t="n">
        <v>105.5</v>
      </c>
      <c r="E16" s="14" t="n">
        <v>42.2</v>
      </c>
      <c r="F16" s="14" t="n">
        <v>7185</v>
      </c>
      <c r="G16" s="14" t="n">
        <v>2184</v>
      </c>
      <c r="H16" s="14" t="n">
        <v>625</v>
      </c>
      <c r="I16" s="14" t="n">
        <v>1565</v>
      </c>
      <c r="J16" s="14" t="n">
        <v>15</v>
      </c>
      <c r="K16" s="14" t="n">
        <v>11575</v>
      </c>
      <c r="L16" s="14" t="n">
        <v>-1500</v>
      </c>
      <c r="M16" s="14" t="n">
        <v>-1500</v>
      </c>
      <c r="N16" s="14" t="n">
        <v>-1500</v>
      </c>
      <c r="O16" s="14" t="n">
        <v>0</v>
      </c>
      <c r="P16" s="14" t="n">
        <v>0</v>
      </c>
      <c r="Q16" s="14" t="n">
        <v>-500</v>
      </c>
      <c r="R16" s="14" t="n">
        <v>-5000</v>
      </c>
      <c r="S16" s="14" t="n">
        <v>6575</v>
      </c>
      <c r="T16" s="14" t="n">
        <v>37774</v>
      </c>
    </row>
    <row r="17">
      <c r="A17" s="14" t="n">
        <v>14</v>
      </c>
      <c r="B17" s="14" t="n">
        <v>2</v>
      </c>
      <c r="C17" s="14" t="n">
        <v>207</v>
      </c>
      <c r="D17" s="14" t="n">
        <v>112.5</v>
      </c>
      <c r="E17" s="14" t="n">
        <v>45</v>
      </c>
      <c r="F17" s="14" t="n">
        <v>7706</v>
      </c>
      <c r="G17" s="14" t="n">
        <v>2329</v>
      </c>
      <c r="H17" s="14" t="n">
        <v>667</v>
      </c>
      <c r="I17" s="14" t="n">
        <v>1804</v>
      </c>
      <c r="J17" s="14" t="n">
        <v>34</v>
      </c>
      <c r="K17" s="14" t="n">
        <v>12539</v>
      </c>
      <c r="L17" s="14" t="n">
        <v>-1500</v>
      </c>
      <c r="M17" s="14" t="n">
        <v>-1500</v>
      </c>
      <c r="N17" s="14" t="n">
        <v>-1500</v>
      </c>
      <c r="O17" s="14" t="n">
        <v>0</v>
      </c>
      <c r="P17" s="14" t="n">
        <v>0</v>
      </c>
      <c r="Q17" s="14" t="n">
        <v>-500</v>
      </c>
      <c r="R17" s="14" t="n">
        <v>-5000</v>
      </c>
      <c r="S17" s="14" t="n">
        <v>7539</v>
      </c>
      <c r="T17" s="14" t="n">
        <v>45313</v>
      </c>
    </row>
    <row r="18">
      <c r="A18" s="14" t="n">
        <v>15</v>
      </c>
      <c r="B18" s="14" t="n">
        <v>2</v>
      </c>
      <c r="C18" s="14" t="n">
        <v>220</v>
      </c>
      <c r="D18" s="14" t="n">
        <v>120</v>
      </c>
      <c r="E18" s="14" t="n">
        <v>48</v>
      </c>
      <c r="F18" s="14" t="n">
        <v>8190</v>
      </c>
      <c r="G18" s="14" t="n">
        <v>2485</v>
      </c>
      <c r="H18" s="14" t="n">
        <v>712</v>
      </c>
      <c r="I18" s="14" t="n">
        <v>2059</v>
      </c>
      <c r="J18" s="14" t="n">
        <v>55</v>
      </c>
      <c r="K18" s="14" t="n">
        <v>13501</v>
      </c>
      <c r="L18" s="14" t="n">
        <v>-1500</v>
      </c>
      <c r="M18" s="14" t="n">
        <v>-1500</v>
      </c>
      <c r="N18" s="14" t="n">
        <v>-1500</v>
      </c>
      <c r="O18" s="14" t="n">
        <v>0</v>
      </c>
      <c r="P18" s="14" t="n">
        <v>0</v>
      </c>
      <c r="Q18" s="14" t="n">
        <v>-500</v>
      </c>
      <c r="R18" s="14" t="n">
        <v>-5000</v>
      </c>
      <c r="S18" s="14" t="n">
        <v>8501</v>
      </c>
      <c r="T18" s="14" t="n">
        <v>53814</v>
      </c>
    </row>
    <row r="19">
      <c r="A19" s="14" t="n">
        <v>16</v>
      </c>
      <c r="B19" s="14" t="n">
        <v>2</v>
      </c>
      <c r="C19" s="14" t="n">
        <v>233</v>
      </c>
      <c r="D19" s="14" t="n">
        <v>127.9</v>
      </c>
      <c r="E19" s="14" t="n">
        <v>51.2</v>
      </c>
      <c r="F19" s="14" t="n">
        <v>8674</v>
      </c>
      <c r="G19" s="14" t="n">
        <v>2650</v>
      </c>
      <c r="H19" s="14" t="n">
        <v>759</v>
      </c>
      <c r="I19" s="14" t="n">
        <v>2332</v>
      </c>
      <c r="J19" s="14" t="n">
        <v>81</v>
      </c>
      <c r="K19" s="14" t="n">
        <v>14497</v>
      </c>
      <c r="L19" s="14" t="n">
        <v>-1500</v>
      </c>
      <c r="M19" s="14" t="n">
        <v>-1500</v>
      </c>
      <c r="N19" s="14" t="n">
        <v>-1500</v>
      </c>
      <c r="O19" s="14" t="n">
        <v>0</v>
      </c>
      <c r="P19" s="14" t="n">
        <v>0</v>
      </c>
      <c r="Q19" s="14" t="n">
        <v>-500</v>
      </c>
      <c r="R19" s="14" t="n">
        <v>-5000</v>
      </c>
      <c r="S19" s="14" t="n">
        <v>9497</v>
      </c>
      <c r="T19" s="14" t="n">
        <v>63310</v>
      </c>
    </row>
    <row r="20">
      <c r="A20" s="14" t="n">
        <v>17</v>
      </c>
      <c r="B20" s="14" t="n">
        <v>2</v>
      </c>
      <c r="C20" s="14" t="n">
        <v>247</v>
      </c>
      <c r="D20" s="14" t="n">
        <v>136.1</v>
      </c>
      <c r="E20" s="14" t="n">
        <v>54.4</v>
      </c>
      <c r="F20" s="14" t="n">
        <v>9195</v>
      </c>
      <c r="G20" s="14" t="n">
        <v>2819</v>
      </c>
      <c r="H20" s="14" t="n">
        <v>808</v>
      </c>
      <c r="I20" s="14" t="n">
        <v>2623</v>
      </c>
      <c r="J20" s="14" t="n">
        <v>110</v>
      </c>
      <c r="K20" s="14" t="n">
        <v>15555</v>
      </c>
      <c r="L20" s="14" t="n">
        <v>-1500</v>
      </c>
      <c r="M20" s="14" t="n">
        <v>-1500</v>
      </c>
      <c r="N20" s="14" t="n">
        <v>-1500</v>
      </c>
      <c r="O20" s="14" t="n">
        <v>0</v>
      </c>
      <c r="P20" s="14" t="n">
        <v>0</v>
      </c>
      <c r="Q20" s="14" t="n">
        <v>-500</v>
      </c>
      <c r="R20" s="14" t="n">
        <v>-5000</v>
      </c>
      <c r="S20" s="14" t="n">
        <v>10555</v>
      </c>
      <c r="T20" s="14" t="n">
        <v>73865</v>
      </c>
    </row>
    <row r="21">
      <c r="A21" s="14" t="n">
        <v>18</v>
      </c>
      <c r="B21" s="14" t="n">
        <v>2</v>
      </c>
      <c r="C21" s="14" t="n">
        <v>260</v>
      </c>
      <c r="D21" s="14" t="n">
        <v>144</v>
      </c>
      <c r="E21" s="14" t="n">
        <v>57.6</v>
      </c>
      <c r="F21" s="14" t="n">
        <v>9679</v>
      </c>
      <c r="G21" s="14" t="n">
        <v>2985</v>
      </c>
      <c r="H21" s="14" t="n">
        <v>855</v>
      </c>
      <c r="I21" s="14" t="n">
        <v>2932</v>
      </c>
      <c r="J21" s="14" t="n">
        <v>144</v>
      </c>
      <c r="K21" s="14" t="n">
        <v>16595</v>
      </c>
      <c r="L21" s="14" t="n">
        <v>-1500</v>
      </c>
      <c r="M21" s="14" t="n">
        <v>-1500</v>
      </c>
      <c r="N21" s="14" t="n">
        <v>-1500</v>
      </c>
      <c r="O21" s="14" t="n">
        <v>0</v>
      </c>
      <c r="P21" s="14" t="n">
        <v>0</v>
      </c>
      <c r="Q21" s="14" t="n">
        <v>-500</v>
      </c>
      <c r="R21" s="14" t="n">
        <v>-5000</v>
      </c>
      <c r="S21" s="14" t="n">
        <v>11595</v>
      </c>
      <c r="T21" s="14" t="n">
        <v>85460</v>
      </c>
    </row>
    <row r="22">
      <c r="A22" s="14" t="n">
        <v>19</v>
      </c>
      <c r="B22" s="14" t="n">
        <v>2</v>
      </c>
      <c r="C22" s="14" t="n">
        <v>273</v>
      </c>
      <c r="D22" s="14" t="n">
        <v>151.9</v>
      </c>
      <c r="E22" s="14" t="n">
        <v>60.8</v>
      </c>
      <c r="F22" s="14" t="n">
        <v>10163</v>
      </c>
      <c r="G22" s="14" t="n">
        <v>3150</v>
      </c>
      <c r="H22" s="14" t="n">
        <v>903</v>
      </c>
      <c r="I22" s="14" t="n">
        <v>3258</v>
      </c>
      <c r="J22" s="14" t="n">
        <v>182</v>
      </c>
      <c r="K22" s="14" t="n">
        <v>17657</v>
      </c>
      <c r="L22" s="14" t="n">
        <v>-1500</v>
      </c>
      <c r="M22" s="14" t="n">
        <v>-1500</v>
      </c>
      <c r="N22" s="14" t="n">
        <v>-1500</v>
      </c>
      <c r="O22" s="14" t="n">
        <v>0</v>
      </c>
      <c r="P22" s="14" t="n">
        <v>0</v>
      </c>
      <c r="Q22" s="14" t="n">
        <v>-500</v>
      </c>
      <c r="R22" s="14" t="n">
        <v>-5000</v>
      </c>
      <c r="S22" s="14" t="n">
        <v>12657</v>
      </c>
      <c r="T22" s="14" t="n">
        <v>98117</v>
      </c>
    </row>
    <row r="23">
      <c r="A23" s="14" t="n">
        <v>20</v>
      </c>
      <c r="B23" s="14" t="n">
        <v>2</v>
      </c>
      <c r="C23" s="14" t="n">
        <v>287</v>
      </c>
      <c r="D23" s="14" t="n">
        <v>160.1</v>
      </c>
      <c r="E23" s="14" t="n">
        <v>64</v>
      </c>
      <c r="F23" s="14" t="n">
        <v>10684</v>
      </c>
      <c r="G23" s="14" t="n">
        <v>3319</v>
      </c>
      <c r="H23" s="14" t="n">
        <v>951</v>
      </c>
      <c r="I23" s="14" t="n">
        <v>3603</v>
      </c>
      <c r="J23" s="14" t="n">
        <v>226</v>
      </c>
      <c r="K23" s="14" t="n">
        <v>18783</v>
      </c>
      <c r="L23" s="14" t="n">
        <v>-1500</v>
      </c>
      <c r="M23" s="14" t="n">
        <v>-1500</v>
      </c>
      <c r="N23" s="14" t="n">
        <v>-1500</v>
      </c>
      <c r="O23" s="14" t="n">
        <v>0</v>
      </c>
      <c r="P23" s="14" t="n">
        <v>0</v>
      </c>
      <c r="Q23" s="14" t="n">
        <v>-500</v>
      </c>
      <c r="R23" s="14" t="n">
        <v>-5000</v>
      </c>
      <c r="S23" s="14" t="n">
        <v>13783</v>
      </c>
      <c r="T23" s="14" t="n">
        <v>111900</v>
      </c>
    </row>
    <row r="24">
      <c r="A24" s="14" t="n">
        <v>21</v>
      </c>
      <c r="B24" s="14" t="n">
        <v>2</v>
      </c>
      <c r="C24" s="14" t="n">
        <v>300</v>
      </c>
      <c r="D24" s="14" t="n">
        <v>168</v>
      </c>
      <c r="E24" s="14" t="n">
        <v>67.2</v>
      </c>
      <c r="F24" s="14" t="n">
        <v>11168</v>
      </c>
      <c r="G24" s="14" t="n">
        <v>3484</v>
      </c>
      <c r="H24" s="14" t="n">
        <v>999</v>
      </c>
      <c r="I24" s="14" t="n">
        <v>3965</v>
      </c>
      <c r="J24" s="14" t="n">
        <v>275</v>
      </c>
      <c r="K24" s="14" t="n">
        <v>19892</v>
      </c>
      <c r="L24" s="14" t="n">
        <v>-1500</v>
      </c>
      <c r="M24" s="14" t="n">
        <v>-1500</v>
      </c>
      <c r="N24" s="14" t="n">
        <v>-1500</v>
      </c>
      <c r="O24" s="14" t="n">
        <v>0</v>
      </c>
      <c r="P24" s="14" t="n">
        <v>0</v>
      </c>
      <c r="Q24" s="14" t="n">
        <v>-500</v>
      </c>
      <c r="R24" s="14" t="n">
        <v>-5000</v>
      </c>
      <c r="S24" s="14" t="n">
        <v>14892</v>
      </c>
      <c r="T24" s="14" t="n">
        <v>126792</v>
      </c>
    </row>
    <row r="25">
      <c r="A25" s="14" t="n">
        <v>22</v>
      </c>
      <c r="B25" s="14" t="n">
        <v>2</v>
      </c>
      <c r="C25" s="14" t="n">
        <v>313</v>
      </c>
      <c r="D25" s="14" t="n">
        <v>175.9</v>
      </c>
      <c r="E25" s="14" t="n">
        <v>70.40000000000001</v>
      </c>
      <c r="F25" s="14" t="n">
        <v>11652</v>
      </c>
      <c r="G25" s="14" t="n">
        <v>3650</v>
      </c>
      <c r="H25" s="14" t="n">
        <v>1046</v>
      </c>
      <c r="I25" s="14" t="n">
        <v>4345</v>
      </c>
      <c r="J25" s="14" t="n">
        <v>330</v>
      </c>
      <c r="K25" s="14" t="n">
        <v>21025</v>
      </c>
      <c r="L25" s="14" t="n">
        <v>-1500</v>
      </c>
      <c r="M25" s="14" t="n">
        <v>-1500</v>
      </c>
      <c r="N25" s="14" t="n">
        <v>-1500</v>
      </c>
      <c r="O25" s="14" t="n">
        <v>0</v>
      </c>
      <c r="P25" s="14" t="n">
        <v>0</v>
      </c>
      <c r="Q25" s="14" t="n">
        <v>-500</v>
      </c>
      <c r="R25" s="14" t="n">
        <v>-5000</v>
      </c>
      <c r="S25" s="14" t="n">
        <v>16025</v>
      </c>
      <c r="T25" s="14" t="n">
        <v>142817</v>
      </c>
    </row>
    <row r="26">
      <c r="A26" s="14" t="n">
        <v>23</v>
      </c>
      <c r="B26" s="14" t="n">
        <v>2</v>
      </c>
      <c r="C26" s="14" t="n">
        <v>327</v>
      </c>
      <c r="D26" s="14" t="n">
        <v>184.1</v>
      </c>
      <c r="E26" s="14" t="n">
        <v>73.59999999999999</v>
      </c>
      <c r="F26" s="14" t="n">
        <v>12174</v>
      </c>
      <c r="G26" s="14" t="n">
        <v>3819</v>
      </c>
      <c r="H26" s="14" t="n">
        <v>1095</v>
      </c>
      <c r="I26" s="14" t="n">
        <v>4744</v>
      </c>
      <c r="J26" s="14" t="n">
        <v>392</v>
      </c>
      <c r="K26" s="14" t="n">
        <v>22223</v>
      </c>
      <c r="L26" s="14" t="n">
        <v>-1500</v>
      </c>
      <c r="M26" s="14" t="n">
        <v>-1500</v>
      </c>
      <c r="N26" s="14" t="n">
        <v>-1500</v>
      </c>
      <c r="O26" s="14" t="n">
        <v>0</v>
      </c>
      <c r="P26" s="14" t="n">
        <v>0</v>
      </c>
      <c r="Q26" s="14" t="n">
        <v>-500</v>
      </c>
      <c r="R26" s="14" t="n">
        <v>-5000</v>
      </c>
      <c r="S26" s="14" t="n">
        <v>17223</v>
      </c>
      <c r="T26" s="14" t="n">
        <v>160039</v>
      </c>
    </row>
    <row r="27">
      <c r="A27" s="15" t="n">
        <v>24</v>
      </c>
      <c r="B27" s="15" t="n">
        <v>2</v>
      </c>
      <c r="C27" s="15" t="n">
        <v>340</v>
      </c>
      <c r="D27" s="15" t="n">
        <v>192</v>
      </c>
      <c r="E27" s="15" t="n">
        <v>76.8</v>
      </c>
      <c r="F27" s="15" t="n">
        <v>12658</v>
      </c>
      <c r="G27" s="15" t="n">
        <v>3984</v>
      </c>
      <c r="H27" s="15" t="n">
        <v>1142</v>
      </c>
      <c r="I27" s="15" t="n">
        <v>5160</v>
      </c>
      <c r="J27" s="15" t="n">
        <v>460</v>
      </c>
      <c r="K27" s="15" t="n">
        <v>23404</v>
      </c>
      <c r="L27" s="15" t="n">
        <v>-1500</v>
      </c>
      <c r="M27" s="15" t="n">
        <v>-1500</v>
      </c>
      <c r="N27" s="15" t="n">
        <v>-1500</v>
      </c>
      <c r="O27" s="15" t="n">
        <v>0</v>
      </c>
      <c r="P27" s="15" t="n">
        <v>0</v>
      </c>
      <c r="Q27" s="15" t="n">
        <v>-500</v>
      </c>
      <c r="R27" s="15" t="n">
        <v>-5000</v>
      </c>
      <c r="S27" s="15" t="n">
        <v>18404</v>
      </c>
      <c r="T27" s="15" t="n">
        <v>178443</v>
      </c>
    </row>
    <row r="28">
      <c r="A28" s="14" t="n">
        <v>25</v>
      </c>
      <c r="B28" s="14" t="n">
        <v>3</v>
      </c>
      <c r="C28" s="14" t="n">
        <v>353</v>
      </c>
      <c r="D28" s="14" t="n">
        <v>199.9</v>
      </c>
      <c r="E28" s="14" t="n">
        <v>80</v>
      </c>
      <c r="F28" s="14" t="n">
        <v>13141</v>
      </c>
      <c r="G28" s="14" t="n">
        <v>4150</v>
      </c>
      <c r="H28" s="14" t="n">
        <v>1190</v>
      </c>
      <c r="I28" s="14" t="n">
        <v>5594</v>
      </c>
      <c r="J28" s="14" t="n">
        <v>535</v>
      </c>
      <c r="K28" s="14" t="n">
        <v>24611</v>
      </c>
      <c r="L28" s="14" t="n">
        <v>-2500</v>
      </c>
      <c r="M28" s="14" t="n">
        <v>-2000</v>
      </c>
      <c r="N28" s="14" t="n">
        <v>-3000</v>
      </c>
      <c r="O28" s="14" t="n">
        <v>0</v>
      </c>
      <c r="P28" s="14" t="n">
        <v>0</v>
      </c>
      <c r="Q28" s="14" t="n">
        <v>-500</v>
      </c>
      <c r="R28" s="14" t="n">
        <v>-8000</v>
      </c>
      <c r="S28" s="14" t="n">
        <v>16611</v>
      </c>
      <c r="T28" s="14" t="n">
        <v>195054</v>
      </c>
    </row>
    <row r="29">
      <c r="A29" s="14" t="n">
        <v>26</v>
      </c>
      <c r="B29" s="14" t="n">
        <v>3</v>
      </c>
      <c r="C29" s="14" t="n">
        <v>367</v>
      </c>
      <c r="D29" s="14" t="n">
        <v>208.1</v>
      </c>
      <c r="E29" s="14" t="n">
        <v>83.2</v>
      </c>
      <c r="F29" s="14" t="n">
        <v>13663</v>
      </c>
      <c r="G29" s="14" t="n">
        <v>4318</v>
      </c>
      <c r="H29" s="14" t="n">
        <v>1238</v>
      </c>
      <c r="I29" s="14" t="n">
        <v>6047</v>
      </c>
      <c r="J29" s="14" t="n">
        <v>617</v>
      </c>
      <c r="K29" s="14" t="n">
        <v>25883</v>
      </c>
      <c r="L29" s="14" t="n">
        <v>-2500</v>
      </c>
      <c r="M29" s="14" t="n">
        <v>-2000</v>
      </c>
      <c r="N29" s="14" t="n">
        <v>-3000</v>
      </c>
      <c r="O29" s="14" t="n">
        <v>0</v>
      </c>
      <c r="P29" s="14" t="n">
        <v>0</v>
      </c>
      <c r="Q29" s="14" t="n">
        <v>-500</v>
      </c>
      <c r="R29" s="14" t="n">
        <v>-8000</v>
      </c>
      <c r="S29" s="14" t="n">
        <v>17883</v>
      </c>
      <c r="T29" s="14" t="n">
        <v>212937</v>
      </c>
    </row>
    <row r="30">
      <c r="A30" s="14" t="n">
        <v>27</v>
      </c>
      <c r="B30" s="14" t="n">
        <v>3</v>
      </c>
      <c r="C30" s="14" t="n">
        <v>380</v>
      </c>
      <c r="D30" s="14" t="n">
        <v>216</v>
      </c>
      <c r="E30" s="14" t="n">
        <v>86.40000000000001</v>
      </c>
      <c r="F30" s="14" t="n">
        <v>14147</v>
      </c>
      <c r="G30" s="14" t="n">
        <v>4484</v>
      </c>
      <c r="H30" s="14" t="n">
        <v>1286</v>
      </c>
      <c r="I30" s="14" t="n">
        <v>6517</v>
      </c>
      <c r="J30" s="14" t="n">
        <v>707</v>
      </c>
      <c r="K30" s="14" t="n">
        <v>27141</v>
      </c>
      <c r="L30" s="14" t="n">
        <v>-2500</v>
      </c>
      <c r="M30" s="14" t="n">
        <v>-2000</v>
      </c>
      <c r="N30" s="14" t="n">
        <v>-3000</v>
      </c>
      <c r="O30" s="14" t="n">
        <v>0</v>
      </c>
      <c r="P30" s="14" t="n">
        <v>0</v>
      </c>
      <c r="Q30" s="14" t="n">
        <v>-500</v>
      </c>
      <c r="R30" s="14" t="n">
        <v>-8000</v>
      </c>
      <c r="S30" s="14" t="n">
        <v>19141</v>
      </c>
      <c r="T30" s="14" t="n">
        <v>232077</v>
      </c>
    </row>
    <row r="31">
      <c r="A31" s="14" t="n">
        <v>28</v>
      </c>
      <c r="B31" s="14" t="n">
        <v>3</v>
      </c>
      <c r="C31" s="14" t="n">
        <v>393</v>
      </c>
      <c r="D31" s="14" t="n">
        <v>223.9</v>
      </c>
      <c r="E31" s="14" t="n">
        <v>89.59999999999999</v>
      </c>
      <c r="F31" s="14" t="n">
        <v>14631</v>
      </c>
      <c r="G31" s="14" t="n">
        <v>4650</v>
      </c>
      <c r="H31" s="14" t="n">
        <v>1333</v>
      </c>
      <c r="I31" s="14" t="n">
        <v>7005</v>
      </c>
      <c r="J31" s="14" t="n">
        <v>805</v>
      </c>
      <c r="K31" s="14" t="n">
        <v>28424</v>
      </c>
      <c r="L31" s="14" t="n">
        <v>-2500</v>
      </c>
      <c r="M31" s="14" t="n">
        <v>-2000</v>
      </c>
      <c r="N31" s="14" t="n">
        <v>-3000</v>
      </c>
      <c r="O31" s="14" t="n">
        <v>0</v>
      </c>
      <c r="P31" s="14" t="n">
        <v>0</v>
      </c>
      <c r="Q31" s="14" t="n">
        <v>-500</v>
      </c>
      <c r="R31" s="14" t="n">
        <v>-8000</v>
      </c>
      <c r="S31" s="14" t="n">
        <v>20424</v>
      </c>
      <c r="T31" s="14" t="n">
        <v>252501</v>
      </c>
    </row>
    <row r="32">
      <c r="A32" s="14" t="n">
        <v>29</v>
      </c>
      <c r="B32" s="14" t="n">
        <v>3</v>
      </c>
      <c r="C32" s="14" t="n">
        <v>407</v>
      </c>
      <c r="D32" s="14" t="n">
        <v>232.1</v>
      </c>
      <c r="E32" s="14" t="n">
        <v>92.8</v>
      </c>
      <c r="F32" s="14" t="n">
        <v>15152</v>
      </c>
      <c r="G32" s="14" t="n">
        <v>4818</v>
      </c>
      <c r="H32" s="14" t="n">
        <v>1382</v>
      </c>
      <c r="I32" s="14" t="n">
        <v>7511</v>
      </c>
      <c r="J32" s="14" t="n">
        <v>911</v>
      </c>
      <c r="K32" s="14" t="n">
        <v>29774</v>
      </c>
      <c r="L32" s="14" t="n">
        <v>-2500</v>
      </c>
      <c r="M32" s="14" t="n">
        <v>-2000</v>
      </c>
      <c r="N32" s="14" t="n">
        <v>-3000</v>
      </c>
      <c r="O32" s="14" t="n">
        <v>0</v>
      </c>
      <c r="P32" s="14" t="n">
        <v>0</v>
      </c>
      <c r="Q32" s="14" t="n">
        <v>-500</v>
      </c>
      <c r="R32" s="14" t="n">
        <v>-8000</v>
      </c>
      <c r="S32" s="14" t="n">
        <v>21774</v>
      </c>
      <c r="T32" s="14" t="n">
        <v>274275</v>
      </c>
    </row>
    <row r="33">
      <c r="A33" s="14" t="n">
        <v>30</v>
      </c>
      <c r="B33" s="14" t="n">
        <v>3</v>
      </c>
      <c r="C33" s="14" t="n">
        <v>420</v>
      </c>
      <c r="D33" s="14" t="n">
        <v>240</v>
      </c>
      <c r="E33" s="14" t="n">
        <v>96</v>
      </c>
      <c r="F33" s="14" t="n">
        <v>15636</v>
      </c>
      <c r="G33" s="14" t="n">
        <v>4984</v>
      </c>
      <c r="H33" s="14" t="n">
        <v>1429</v>
      </c>
      <c r="I33" s="14" t="n">
        <v>8034</v>
      </c>
      <c r="J33" s="14" t="n">
        <v>1026</v>
      </c>
      <c r="K33" s="14" t="n">
        <v>31109</v>
      </c>
      <c r="L33" s="14" t="n">
        <v>-2500</v>
      </c>
      <c r="M33" s="14" t="n">
        <v>-2000</v>
      </c>
      <c r="N33" s="14" t="n">
        <v>-3000</v>
      </c>
      <c r="O33" s="14" t="n">
        <v>0</v>
      </c>
      <c r="P33" s="14" t="n">
        <v>0</v>
      </c>
      <c r="Q33" s="14" t="n">
        <v>-500</v>
      </c>
      <c r="R33" s="14" t="n">
        <v>-8000</v>
      </c>
      <c r="S33" s="14" t="n">
        <v>23109</v>
      </c>
      <c r="T33" s="14" t="n">
        <v>297384</v>
      </c>
    </row>
    <row r="34">
      <c r="A34" s="14" t="n">
        <v>31</v>
      </c>
      <c r="B34" s="14" t="n">
        <v>3</v>
      </c>
      <c r="C34" s="14" t="n">
        <v>433</v>
      </c>
      <c r="D34" s="14" t="n">
        <v>247.9</v>
      </c>
      <c r="E34" s="14" t="n">
        <v>99.2</v>
      </c>
      <c r="F34" s="14" t="n">
        <v>16120</v>
      </c>
      <c r="G34" s="14" t="n">
        <v>5150</v>
      </c>
      <c r="H34" s="14" t="n">
        <v>1477</v>
      </c>
      <c r="I34" s="14" t="n">
        <v>8575</v>
      </c>
      <c r="J34" s="14" t="n">
        <v>1150</v>
      </c>
      <c r="K34" s="14" t="n">
        <v>32471</v>
      </c>
      <c r="L34" s="14" t="n">
        <v>-2500</v>
      </c>
      <c r="M34" s="14" t="n">
        <v>-2000</v>
      </c>
      <c r="N34" s="14" t="n">
        <v>-3000</v>
      </c>
      <c r="O34" s="14" t="n">
        <v>0</v>
      </c>
      <c r="P34" s="14" t="n">
        <v>0</v>
      </c>
      <c r="Q34" s="14" t="n">
        <v>-500</v>
      </c>
      <c r="R34" s="14" t="n">
        <v>-8000</v>
      </c>
      <c r="S34" s="14" t="n">
        <v>24471</v>
      </c>
      <c r="T34" s="14" t="n">
        <v>321855</v>
      </c>
    </row>
    <row r="35">
      <c r="A35" s="14" t="n">
        <v>32</v>
      </c>
      <c r="B35" s="14" t="n">
        <v>3</v>
      </c>
      <c r="C35" s="14" t="n">
        <v>447</v>
      </c>
      <c r="D35" s="14" t="n">
        <v>256.1</v>
      </c>
      <c r="E35" s="14" t="n">
        <v>102.4</v>
      </c>
      <c r="F35" s="14" t="n">
        <v>16641</v>
      </c>
      <c r="G35" s="14" t="n">
        <v>5318</v>
      </c>
      <c r="H35" s="14" t="n">
        <v>1525</v>
      </c>
      <c r="I35" s="14" t="n">
        <v>9133</v>
      </c>
      <c r="J35" s="14" t="n">
        <v>1284</v>
      </c>
      <c r="K35" s="14" t="n">
        <v>33901</v>
      </c>
      <c r="L35" s="14" t="n">
        <v>-2500</v>
      </c>
      <c r="M35" s="14" t="n">
        <v>-2000</v>
      </c>
      <c r="N35" s="14" t="n">
        <v>-3000</v>
      </c>
      <c r="O35" s="14" t="n">
        <v>0</v>
      </c>
      <c r="P35" s="14" t="n">
        <v>0</v>
      </c>
      <c r="Q35" s="14" t="n">
        <v>-500</v>
      </c>
      <c r="R35" s="14" t="n">
        <v>-8000</v>
      </c>
      <c r="S35" s="14" t="n">
        <v>25901</v>
      </c>
      <c r="T35" s="14" t="n">
        <v>347757</v>
      </c>
    </row>
    <row r="36">
      <c r="A36" s="14" t="n">
        <v>33</v>
      </c>
      <c r="B36" s="14" t="n">
        <v>3</v>
      </c>
      <c r="C36" s="14" t="n">
        <v>460</v>
      </c>
      <c r="D36" s="14" t="n">
        <v>264</v>
      </c>
      <c r="E36" s="14" t="n">
        <v>105.6</v>
      </c>
      <c r="F36" s="14" t="n">
        <v>17125</v>
      </c>
      <c r="G36" s="14" t="n">
        <v>5484</v>
      </c>
      <c r="H36" s="14" t="n">
        <v>1573</v>
      </c>
      <c r="I36" s="14" t="n">
        <v>9709</v>
      </c>
      <c r="J36" s="14" t="n">
        <v>1427</v>
      </c>
      <c r="K36" s="14" t="n">
        <v>35318</v>
      </c>
      <c r="L36" s="14" t="n">
        <v>-2500</v>
      </c>
      <c r="M36" s="14" t="n">
        <v>-2000</v>
      </c>
      <c r="N36" s="14" t="n">
        <v>-3000</v>
      </c>
      <c r="O36" s="14" t="n">
        <v>0</v>
      </c>
      <c r="P36" s="14" t="n">
        <v>0</v>
      </c>
      <c r="Q36" s="14" t="n">
        <v>-500</v>
      </c>
      <c r="R36" s="14" t="n">
        <v>-8000</v>
      </c>
      <c r="S36" s="14" t="n">
        <v>27318</v>
      </c>
      <c r="T36" s="14" t="n">
        <v>375074</v>
      </c>
    </row>
    <row r="37">
      <c r="A37" s="14" t="n">
        <v>34</v>
      </c>
      <c r="B37" s="14" t="n">
        <v>3</v>
      </c>
      <c r="C37" s="14" t="n">
        <v>473</v>
      </c>
      <c r="D37" s="14" t="n">
        <v>271.9</v>
      </c>
      <c r="E37" s="14" t="n">
        <v>108.8</v>
      </c>
      <c r="F37" s="14" t="n">
        <v>17609</v>
      </c>
      <c r="G37" s="14" t="n">
        <v>5650</v>
      </c>
      <c r="H37" s="14" t="n">
        <v>1620</v>
      </c>
      <c r="I37" s="14" t="n">
        <v>10302</v>
      </c>
      <c r="J37" s="14" t="n">
        <v>1580</v>
      </c>
      <c r="K37" s="14" t="n">
        <v>36761</v>
      </c>
      <c r="L37" s="14" t="n">
        <v>-2500</v>
      </c>
      <c r="M37" s="14" t="n">
        <v>-2000</v>
      </c>
      <c r="N37" s="14" t="n">
        <v>-3000</v>
      </c>
      <c r="O37" s="14" t="n">
        <v>0</v>
      </c>
      <c r="P37" s="14" t="n">
        <v>0</v>
      </c>
      <c r="Q37" s="14" t="n">
        <v>-500</v>
      </c>
      <c r="R37" s="14" t="n">
        <v>-8000</v>
      </c>
      <c r="S37" s="14" t="n">
        <v>28761</v>
      </c>
      <c r="T37" s="14" t="n">
        <v>403835</v>
      </c>
    </row>
    <row r="38">
      <c r="A38" s="14" t="n">
        <v>35</v>
      </c>
      <c r="B38" s="14" t="n">
        <v>3</v>
      </c>
      <c r="C38" s="14" t="n">
        <v>487</v>
      </c>
      <c r="D38" s="14" t="n">
        <v>280.1</v>
      </c>
      <c r="E38" s="14" t="n">
        <v>112</v>
      </c>
      <c r="F38" s="14" t="n">
        <v>18130</v>
      </c>
      <c r="G38" s="14" t="n">
        <v>5818</v>
      </c>
      <c r="H38" s="14" t="n">
        <v>1669</v>
      </c>
      <c r="I38" s="14" t="n">
        <v>10912</v>
      </c>
      <c r="J38" s="14" t="n">
        <v>1744</v>
      </c>
      <c r="K38" s="14" t="n">
        <v>38272</v>
      </c>
      <c r="L38" s="14" t="n">
        <v>-2500</v>
      </c>
      <c r="M38" s="14" t="n">
        <v>-2000</v>
      </c>
      <c r="N38" s="14" t="n">
        <v>-3000</v>
      </c>
      <c r="O38" s="14" t="n">
        <v>0</v>
      </c>
      <c r="P38" s="14" t="n">
        <v>0</v>
      </c>
      <c r="Q38" s="14" t="n">
        <v>-500</v>
      </c>
      <c r="R38" s="14" t="n">
        <v>-8000</v>
      </c>
      <c r="S38" s="14" t="n">
        <v>30272</v>
      </c>
      <c r="T38" s="14" t="n">
        <v>434107</v>
      </c>
    </row>
    <row r="39">
      <c r="A39" s="15" t="n">
        <v>36</v>
      </c>
      <c r="B39" s="15" t="n">
        <v>3</v>
      </c>
      <c r="C39" s="15" t="n">
        <v>500</v>
      </c>
      <c r="D39" s="15" t="n">
        <v>288</v>
      </c>
      <c r="E39" s="15" t="n">
        <v>115.2</v>
      </c>
      <c r="F39" s="15" t="n">
        <v>18614</v>
      </c>
      <c r="G39" s="15" t="n">
        <v>5984</v>
      </c>
      <c r="H39" s="15" t="n">
        <v>1716</v>
      </c>
      <c r="I39" s="15" t="n">
        <v>11539</v>
      </c>
      <c r="J39" s="15" t="n">
        <v>1918</v>
      </c>
      <c r="K39" s="15" t="n">
        <v>39771</v>
      </c>
      <c r="L39" s="15" t="n">
        <v>-2500</v>
      </c>
      <c r="M39" s="15" t="n">
        <v>-2000</v>
      </c>
      <c r="N39" s="15" t="n">
        <v>-3000</v>
      </c>
      <c r="O39" s="15" t="n">
        <v>0</v>
      </c>
      <c r="P39" s="15" t="n">
        <v>0</v>
      </c>
      <c r="Q39" s="15" t="n">
        <v>-500</v>
      </c>
      <c r="R39" s="15" t="n">
        <v>-8000</v>
      </c>
      <c r="S39" s="15" t="n">
        <v>31771</v>
      </c>
      <c r="T39" s="15" t="n">
        <v>465878</v>
      </c>
    </row>
    <row r="40"/>
    <row r="41"/>
    <row r="42">
      <c r="A42" s="16" t="inlineStr">
        <is>
          <t>ANCHOR vs v2 doc</t>
        </is>
      </c>
    </row>
    <row r="43">
      <c r="A43" s="2" t="inlineStr">
        <is>
          <t>Bottom-up cum cash M12</t>
        </is>
      </c>
      <c r="B43" s="14" t="n">
        <v>31199</v>
      </c>
      <c r="C43" s="17" t="inlineStr">
        <is>
          <t>Doc target</t>
        </is>
      </c>
      <c r="D43" s="14" t="n">
        <v>42526</v>
      </c>
      <c r="E43" s="17" t="inlineStr">
        <is>
          <t>Plug</t>
        </is>
      </c>
      <c r="F43" s="14" t="n">
        <v>11327</v>
      </c>
    </row>
    <row r="44">
      <c r="A44" s="2" t="inlineStr">
        <is>
          <t>Bottom-up cum cash M24</t>
        </is>
      </c>
      <c r="B44" s="14" t="n">
        <v>178443</v>
      </c>
      <c r="D44" s="14" t="n">
        <v>391671</v>
      </c>
      <c r="F44" s="14" t="n">
        <v>213228</v>
      </c>
    </row>
    <row r="45">
      <c r="A45" s="2" t="inlineStr">
        <is>
          <t>Bottom-up cum cash M36</t>
        </is>
      </c>
      <c r="B45" s="14" t="n">
        <v>465878</v>
      </c>
      <c r="D45" s="14" t="n">
        <v>1178126</v>
      </c>
      <c r="F45" s="14" t="n">
        <v>712248</v>
      </c>
    </row>
    <row r="46">
      <c r="A46" s="2" t="inlineStr">
        <is>
          <t>Bottom-up M36 net (monthly)</t>
        </is>
      </c>
      <c r="B46" s="14" t="n">
        <v>31771</v>
      </c>
      <c r="D46" s="14" t="n">
        <v>86870</v>
      </c>
      <c r="F46" s="14" t="n">
        <v>55099</v>
      </c>
    </row>
    <row r="47"/>
    <row r="48">
      <c r="A48" s="18" t="inlineStr">
        <is>
          <t>Plug interpretation: positive plug = bottom-up model UNDERSHOOTS the doc target. Likely drivers to tune: DS conversion (currently 15%), tenure (4 mo), retest cadence, intercompany %. Negative plug = bottom-up OVERSHOOTS the doc — likely missing a cost line.</t>
        </is>
      </c>
    </row>
  </sheetData>
  <mergeCells count="1">
    <mergeCell ref="A48:J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  <col width="17" customWidth="1" min="4" max="4"/>
    <col width="10" customWidth="1" min="5" max="5"/>
    <col width="18" customWidth="1" min="6" max="6"/>
    <col width="10" customWidth="1" min="7" max="7"/>
    <col width="21" customWidth="1" min="8" max="8"/>
    <col width="10" customWidth="1" min="9" max="9"/>
    <col width="10" customWidth="1" min="10" max="10"/>
  </cols>
  <sheetData>
    <row r="1">
      <c r="A1" s="13" t="inlineStr">
        <is>
          <t>Clinical Ltd — Monthly P&amp;L — v2 gate PASS</t>
        </is>
      </c>
    </row>
    <row r="2"/>
    <row r="3">
      <c r="A3" s="6" t="inlineStr">
        <is>
          <t>Month</t>
        </is>
      </c>
      <c r="B3" s="6" t="inlineStr">
        <is>
          <t>Year</t>
        </is>
      </c>
      <c r="C3" s="6" t="inlineStr">
        <is>
          <t>New patients</t>
        </is>
      </c>
      <c r="D3" s="6" t="inlineStr">
        <is>
          <t>Active patients</t>
        </is>
      </c>
      <c r="E3" s="6" t="inlineStr">
        <is>
          <t>Revenue</t>
        </is>
      </c>
      <c r="F3" s="6" t="inlineStr">
        <is>
          <t>COGS / clinician</t>
        </is>
      </c>
      <c r="G3" s="6" t="inlineStr">
        <is>
          <t>OpEx</t>
        </is>
      </c>
      <c r="H3" s="6" t="inlineStr">
        <is>
          <t>Interco out (to AP)</t>
        </is>
      </c>
      <c r="I3" s="6" t="inlineStr">
        <is>
          <t>Net</t>
        </is>
      </c>
      <c r="J3" s="6" t="inlineStr">
        <is>
          <t>Cum cash</t>
        </is>
      </c>
    </row>
    <row r="4">
      <c r="A4" s="14" t="n">
        <v>1</v>
      </c>
      <c r="B4" s="14" t="n">
        <v>1</v>
      </c>
      <c r="C4" s="14" t="n">
        <v>0</v>
      </c>
      <c r="D4" s="14" t="n">
        <v>0</v>
      </c>
      <c r="E4" s="14" t="n">
        <v>0</v>
      </c>
      <c r="F4" s="14" t="n">
        <v>0</v>
      </c>
      <c r="G4" s="14" t="n">
        <v>-4417</v>
      </c>
      <c r="H4" s="14" t="n">
        <v>0</v>
      </c>
      <c r="I4" s="14" t="n">
        <v>-4417</v>
      </c>
      <c r="J4" s="14" t="n">
        <v>-4417</v>
      </c>
    </row>
    <row r="5">
      <c r="A5" s="14" t="n">
        <v>2</v>
      </c>
      <c r="B5" s="14" t="n">
        <v>1</v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-4417</v>
      </c>
      <c r="H5" s="14" t="n">
        <v>0</v>
      </c>
      <c r="I5" s="14" t="n">
        <v>-4417</v>
      </c>
      <c r="J5" s="14" t="n">
        <v>-8833</v>
      </c>
    </row>
    <row r="6">
      <c r="A6" s="14" t="n">
        <v>3</v>
      </c>
      <c r="B6" s="14" t="n">
        <v>1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-4417</v>
      </c>
      <c r="H6" s="14" t="n">
        <v>0</v>
      </c>
      <c r="I6" s="14" t="n">
        <v>-4417</v>
      </c>
      <c r="J6" s="14" t="n">
        <v>-13250</v>
      </c>
    </row>
    <row r="7">
      <c r="A7" s="14" t="n">
        <v>4</v>
      </c>
      <c r="B7" s="14" t="n">
        <v>1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-4417</v>
      </c>
      <c r="H7" s="14" t="n">
        <v>0</v>
      </c>
      <c r="I7" s="14" t="n">
        <v>-4417</v>
      </c>
      <c r="J7" s="14" t="n">
        <v>-17667</v>
      </c>
    </row>
    <row r="8">
      <c r="A8" s="14" t="n">
        <v>5</v>
      </c>
      <c r="B8" s="14" t="n">
        <v>1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-4417</v>
      </c>
      <c r="H8" s="14" t="n">
        <v>0</v>
      </c>
      <c r="I8" s="14" t="n">
        <v>-4417</v>
      </c>
      <c r="J8" s="14" t="n">
        <v>-22083</v>
      </c>
    </row>
    <row r="9">
      <c r="A9" s="14" t="n">
        <v>6</v>
      </c>
      <c r="B9" s="14" t="n">
        <v>1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-4417</v>
      </c>
      <c r="H9" s="14" t="n">
        <v>0</v>
      </c>
      <c r="I9" s="14" t="n">
        <v>-4417</v>
      </c>
      <c r="J9" s="14" t="n">
        <v>-26500</v>
      </c>
    </row>
    <row r="10">
      <c r="A10" s="14" t="n">
        <v>7</v>
      </c>
      <c r="B10" s="14" t="n">
        <v>1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-4417</v>
      </c>
      <c r="H10" s="14" t="n">
        <v>0</v>
      </c>
      <c r="I10" s="14" t="n">
        <v>-4417</v>
      </c>
      <c r="J10" s="14" t="n">
        <v>-30917</v>
      </c>
    </row>
    <row r="11">
      <c r="A11" s="14" t="n">
        <v>8</v>
      </c>
      <c r="B11" s="14" t="n">
        <v>1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-4417</v>
      </c>
      <c r="H11" s="14" t="n">
        <v>0</v>
      </c>
      <c r="I11" s="14" t="n">
        <v>-4417</v>
      </c>
      <c r="J11" s="14" t="n">
        <v>-35333</v>
      </c>
    </row>
    <row r="12">
      <c r="A12" s="14" t="n">
        <v>9</v>
      </c>
      <c r="B12" s="14" t="n">
        <v>1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-4417</v>
      </c>
      <c r="H12" s="14" t="n">
        <v>0</v>
      </c>
      <c r="I12" s="14" t="n">
        <v>-4417</v>
      </c>
      <c r="J12" s="14" t="n">
        <v>-39750</v>
      </c>
    </row>
    <row r="13">
      <c r="A13" s="14" t="n">
        <v>10</v>
      </c>
      <c r="B13" s="14" t="n">
        <v>1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-4417</v>
      </c>
      <c r="H13" s="14" t="n">
        <v>0</v>
      </c>
      <c r="I13" s="14" t="n">
        <v>-4417</v>
      </c>
      <c r="J13" s="14" t="n">
        <v>-44167</v>
      </c>
    </row>
    <row r="14">
      <c r="A14" s="14" t="n">
        <v>11</v>
      </c>
      <c r="B14" s="14" t="n">
        <v>1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-4417</v>
      </c>
      <c r="H14" s="14" t="n">
        <v>0</v>
      </c>
      <c r="I14" s="14" t="n">
        <v>-4417</v>
      </c>
      <c r="J14" s="14" t="n">
        <v>-48583</v>
      </c>
    </row>
    <row r="15">
      <c r="A15" s="15" t="n">
        <v>12</v>
      </c>
      <c r="B15" s="15" t="n">
        <v>1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-4417</v>
      </c>
      <c r="H15" s="15" t="n">
        <v>0</v>
      </c>
      <c r="I15" s="15" t="n">
        <v>-4417</v>
      </c>
      <c r="J15" s="15" t="n">
        <v>-53000</v>
      </c>
    </row>
    <row r="16">
      <c r="A16" s="14" t="n">
        <v>13</v>
      </c>
      <c r="B16" s="14" t="n">
        <v>2</v>
      </c>
      <c r="C16" s="14" t="n">
        <v>1.3</v>
      </c>
      <c r="D16" s="14" t="n">
        <v>1.3</v>
      </c>
      <c r="E16" s="14" t="n">
        <v>262</v>
      </c>
      <c r="F16" s="14" t="n">
        <v>-118</v>
      </c>
      <c r="G16" s="14" t="n">
        <v>-4000</v>
      </c>
      <c r="H16" s="14" t="n">
        <v>-39</v>
      </c>
      <c r="I16" s="14" t="n">
        <v>-3895</v>
      </c>
      <c r="J16" s="14" t="n">
        <v>-56895</v>
      </c>
    </row>
    <row r="17">
      <c r="A17" s="14" t="n">
        <v>14</v>
      </c>
      <c r="B17" s="14" t="n">
        <v>2</v>
      </c>
      <c r="C17" s="14" t="n">
        <v>1.7</v>
      </c>
      <c r="D17" s="14" t="n">
        <v>3</v>
      </c>
      <c r="E17" s="14" t="n">
        <v>593</v>
      </c>
      <c r="F17" s="14" t="n">
        <v>-267</v>
      </c>
      <c r="G17" s="14" t="n">
        <v>-4000</v>
      </c>
      <c r="H17" s="14" t="n">
        <v>-89</v>
      </c>
      <c r="I17" s="14" t="n">
        <v>-3763</v>
      </c>
      <c r="J17" s="14" t="n">
        <v>-60658</v>
      </c>
    </row>
    <row r="18">
      <c r="A18" s="14" t="n">
        <v>15</v>
      </c>
      <c r="B18" s="14" t="n">
        <v>2</v>
      </c>
      <c r="C18" s="14" t="n">
        <v>2.1</v>
      </c>
      <c r="D18" s="14" t="n">
        <v>5</v>
      </c>
      <c r="E18" s="14" t="n">
        <v>1000</v>
      </c>
      <c r="F18" s="14" t="n">
        <v>-450</v>
      </c>
      <c r="G18" s="14" t="n">
        <v>-4000</v>
      </c>
      <c r="H18" s="14" t="n">
        <v>-150</v>
      </c>
      <c r="I18" s="14" t="n">
        <v>-3600</v>
      </c>
      <c r="J18" s="14" t="n">
        <v>-64258</v>
      </c>
    </row>
    <row r="19">
      <c r="A19" s="14" t="n">
        <v>16</v>
      </c>
      <c r="B19" s="14" t="n">
        <v>2</v>
      </c>
      <c r="C19" s="14" t="n">
        <v>2.6</v>
      </c>
      <c r="D19" s="14" t="n">
        <v>7.4</v>
      </c>
      <c r="E19" s="14" t="n">
        <v>1489</v>
      </c>
      <c r="F19" s="14" t="n">
        <v>-670</v>
      </c>
      <c r="G19" s="14" t="n">
        <v>-4000</v>
      </c>
      <c r="H19" s="14" t="n">
        <v>-223</v>
      </c>
      <c r="I19" s="14" t="n">
        <v>-3404</v>
      </c>
      <c r="J19" s="14" t="n">
        <v>-67662</v>
      </c>
    </row>
    <row r="20">
      <c r="A20" s="14" t="n">
        <v>17</v>
      </c>
      <c r="B20" s="14" t="n">
        <v>2</v>
      </c>
      <c r="C20" s="14" t="n">
        <v>3.1</v>
      </c>
      <c r="D20" s="14" t="n">
        <v>10.3</v>
      </c>
      <c r="E20" s="14" t="n">
        <v>2067</v>
      </c>
      <c r="F20" s="14" t="n">
        <v>-930</v>
      </c>
      <c r="G20" s="14" t="n">
        <v>-4000</v>
      </c>
      <c r="H20" s="14" t="n">
        <v>-310</v>
      </c>
      <c r="I20" s="14" t="n">
        <v>-3173</v>
      </c>
      <c r="J20" s="14" t="n">
        <v>-70836</v>
      </c>
    </row>
    <row r="21">
      <c r="A21" s="14" t="n">
        <v>18</v>
      </c>
      <c r="B21" s="14" t="n">
        <v>2</v>
      </c>
      <c r="C21" s="14" t="n">
        <v>3.7</v>
      </c>
      <c r="D21" s="14" t="n">
        <v>13.7</v>
      </c>
      <c r="E21" s="14" t="n">
        <v>2742</v>
      </c>
      <c r="F21" s="14" t="n">
        <v>-1234</v>
      </c>
      <c r="G21" s="14" t="n">
        <v>-4000</v>
      </c>
      <c r="H21" s="14" t="n">
        <v>-411</v>
      </c>
      <c r="I21" s="14" t="n">
        <v>-2903</v>
      </c>
      <c r="J21" s="14" t="n">
        <v>-73739</v>
      </c>
    </row>
    <row r="22">
      <c r="A22" s="14" t="n">
        <v>19</v>
      </c>
      <c r="B22" s="14" t="n">
        <v>2</v>
      </c>
      <c r="C22" s="14" t="n">
        <v>4.3</v>
      </c>
      <c r="D22" s="14" t="n">
        <v>17.6</v>
      </c>
      <c r="E22" s="14" t="n">
        <v>3519</v>
      </c>
      <c r="F22" s="14" t="n">
        <v>-1584</v>
      </c>
      <c r="G22" s="14" t="n">
        <v>-4000</v>
      </c>
      <c r="H22" s="14" t="n">
        <v>-528</v>
      </c>
      <c r="I22" s="14" t="n">
        <v>-2592</v>
      </c>
      <c r="J22" s="14" t="n">
        <v>-76331</v>
      </c>
    </row>
    <row r="23">
      <c r="A23" s="14" t="n">
        <v>20</v>
      </c>
      <c r="B23" s="14" t="n">
        <v>2</v>
      </c>
      <c r="C23" s="14" t="n">
        <v>5</v>
      </c>
      <c r="D23" s="14" t="n">
        <v>22</v>
      </c>
      <c r="E23" s="14" t="n">
        <v>4407</v>
      </c>
      <c r="F23" s="14" t="n">
        <v>-1983</v>
      </c>
      <c r="G23" s="14" t="n">
        <v>-4000</v>
      </c>
      <c r="H23" s="14" t="n">
        <v>-661</v>
      </c>
      <c r="I23" s="14" t="n">
        <v>-2237</v>
      </c>
      <c r="J23" s="14" t="n">
        <v>-78568</v>
      </c>
    </row>
    <row r="24">
      <c r="A24" s="14" t="n">
        <v>21</v>
      </c>
      <c r="B24" s="14" t="n">
        <v>2</v>
      </c>
      <c r="C24" s="14" t="n">
        <v>5.7</v>
      </c>
      <c r="D24" s="14" t="n">
        <v>27.1</v>
      </c>
      <c r="E24" s="14" t="n">
        <v>5410</v>
      </c>
      <c r="F24" s="14" t="n">
        <v>-2435</v>
      </c>
      <c r="G24" s="14" t="n">
        <v>-4000</v>
      </c>
      <c r="H24" s="14" t="n">
        <v>-812</v>
      </c>
      <c r="I24" s="14" t="n">
        <v>-1836</v>
      </c>
      <c r="J24" s="14" t="n">
        <v>-80404</v>
      </c>
    </row>
    <row r="25">
      <c r="A25" s="14" t="n">
        <v>22</v>
      </c>
      <c r="B25" s="14" t="n">
        <v>2</v>
      </c>
      <c r="C25" s="14" t="n">
        <v>6.4</v>
      </c>
      <c r="D25" s="14" t="n">
        <v>32.7</v>
      </c>
      <c r="E25" s="14" t="n">
        <v>6537</v>
      </c>
      <c r="F25" s="14" t="n">
        <v>-2942</v>
      </c>
      <c r="G25" s="14" t="n">
        <v>-4000</v>
      </c>
      <c r="H25" s="14" t="n">
        <v>-981</v>
      </c>
      <c r="I25" s="14" t="n">
        <v>-1385</v>
      </c>
      <c r="J25" s="14" t="n">
        <v>-81789</v>
      </c>
    </row>
    <row r="26">
      <c r="A26" s="14" t="n">
        <v>23</v>
      </c>
      <c r="B26" s="14" t="n">
        <v>2</v>
      </c>
      <c r="C26" s="14" t="n">
        <v>7.3</v>
      </c>
      <c r="D26" s="14" t="n">
        <v>39</v>
      </c>
      <c r="E26" s="14" t="n">
        <v>7793</v>
      </c>
      <c r="F26" s="14" t="n">
        <v>-3507</v>
      </c>
      <c r="G26" s="14" t="n">
        <v>-4000</v>
      </c>
      <c r="H26" s="14" t="n">
        <v>-1169</v>
      </c>
      <c r="I26" s="14" t="n">
        <v>-883</v>
      </c>
      <c r="J26" s="14" t="n">
        <v>-82672</v>
      </c>
    </row>
    <row r="27">
      <c r="A27" s="15" t="n">
        <v>24</v>
      </c>
      <c r="B27" s="15" t="n">
        <v>2</v>
      </c>
      <c r="C27" s="15" t="n">
        <v>8.1</v>
      </c>
      <c r="D27" s="15" t="n">
        <v>45.9</v>
      </c>
      <c r="E27" s="15" t="n">
        <v>9185</v>
      </c>
      <c r="F27" s="15" t="n">
        <v>-4133</v>
      </c>
      <c r="G27" s="15" t="n">
        <v>-4000</v>
      </c>
      <c r="H27" s="15" t="n">
        <v>-1378</v>
      </c>
      <c r="I27" s="15" t="n">
        <v>-326</v>
      </c>
      <c r="J27" s="15" t="n">
        <v>-82998</v>
      </c>
    </row>
    <row r="28">
      <c r="A28" s="14" t="n">
        <v>25</v>
      </c>
      <c r="B28" s="14" t="n">
        <v>3</v>
      </c>
      <c r="C28" s="14" t="n">
        <v>9</v>
      </c>
      <c r="D28" s="14" t="n">
        <v>53.6</v>
      </c>
      <c r="E28" s="14" t="n">
        <v>10719</v>
      </c>
      <c r="F28" s="14" t="n">
        <v>-4824</v>
      </c>
      <c r="G28" s="14" t="n">
        <v>-6000</v>
      </c>
      <c r="H28" s="14" t="n">
        <v>-1608</v>
      </c>
      <c r="I28" s="14" t="n">
        <v>-1712</v>
      </c>
      <c r="J28" s="14" t="n">
        <v>-84710</v>
      </c>
    </row>
    <row r="29">
      <c r="A29" s="14" t="n">
        <v>26</v>
      </c>
      <c r="B29" s="14" t="n">
        <v>3</v>
      </c>
      <c r="C29" s="14" t="n">
        <v>10</v>
      </c>
      <c r="D29" s="14" t="n">
        <v>62</v>
      </c>
      <c r="E29" s="14" t="n">
        <v>12401</v>
      </c>
      <c r="F29" s="14" t="n">
        <v>-5581</v>
      </c>
      <c r="G29" s="14" t="n">
        <v>-6000</v>
      </c>
      <c r="H29" s="14" t="n">
        <v>-1860</v>
      </c>
      <c r="I29" s="14" t="n">
        <v>-1039</v>
      </c>
      <c r="J29" s="14" t="n">
        <v>-85750</v>
      </c>
    </row>
    <row r="30">
      <c r="A30" s="14" t="n">
        <v>27</v>
      </c>
      <c r="B30" s="14" t="n">
        <v>3</v>
      </c>
      <c r="C30" s="14" t="n">
        <v>11</v>
      </c>
      <c r="D30" s="14" t="n">
        <v>71.2</v>
      </c>
      <c r="E30" s="14" t="n">
        <v>14237</v>
      </c>
      <c r="F30" s="14" t="n">
        <v>-6407</v>
      </c>
      <c r="G30" s="14" t="n">
        <v>-6000</v>
      </c>
      <c r="H30" s="14" t="n">
        <v>-2136</v>
      </c>
      <c r="I30" s="14" t="n">
        <v>-305</v>
      </c>
      <c r="J30" s="14" t="n">
        <v>-86055</v>
      </c>
    </row>
    <row r="31">
      <c r="A31" s="14" t="n">
        <v>28</v>
      </c>
      <c r="B31" s="14" t="n">
        <v>3</v>
      </c>
      <c r="C31" s="14" t="n">
        <v>12.1</v>
      </c>
      <c r="D31" s="14" t="n">
        <v>81.2</v>
      </c>
      <c r="E31" s="14" t="n">
        <v>16233</v>
      </c>
      <c r="F31" s="14" t="n">
        <v>-7305</v>
      </c>
      <c r="G31" s="14" t="n">
        <v>-6000</v>
      </c>
      <c r="H31" s="14" t="n">
        <v>-2435</v>
      </c>
      <c r="I31" s="14" t="n">
        <v>493</v>
      </c>
      <c r="J31" s="14" t="n">
        <v>-85562</v>
      </c>
    </row>
    <row r="32">
      <c r="A32" s="14" t="n">
        <v>29</v>
      </c>
      <c r="B32" s="14" t="n">
        <v>3</v>
      </c>
      <c r="C32" s="14" t="n">
        <v>13.2</v>
      </c>
      <c r="D32" s="14" t="n">
        <v>92</v>
      </c>
      <c r="E32" s="14" t="n">
        <v>18393</v>
      </c>
      <c r="F32" s="14" t="n">
        <v>-8277</v>
      </c>
      <c r="G32" s="14" t="n">
        <v>-6000</v>
      </c>
      <c r="H32" s="14" t="n">
        <v>-2759</v>
      </c>
      <c r="I32" s="14" t="n">
        <v>1357</v>
      </c>
      <c r="J32" s="14" t="n">
        <v>-84204</v>
      </c>
    </row>
    <row r="33">
      <c r="A33" s="14" t="n">
        <v>30</v>
      </c>
      <c r="B33" s="14" t="n">
        <v>3</v>
      </c>
      <c r="C33" s="14" t="n">
        <v>14.4</v>
      </c>
      <c r="D33" s="14" t="n">
        <v>103.6</v>
      </c>
      <c r="E33" s="14" t="n">
        <v>20725</v>
      </c>
      <c r="F33" s="14" t="n">
        <v>-9326</v>
      </c>
      <c r="G33" s="14" t="n">
        <v>-6000</v>
      </c>
      <c r="H33" s="14" t="n">
        <v>-3109</v>
      </c>
      <c r="I33" s="14" t="n">
        <v>2290</v>
      </c>
      <c r="J33" s="14" t="n">
        <v>-81915</v>
      </c>
    </row>
    <row r="34">
      <c r="A34" s="14" t="n">
        <v>31</v>
      </c>
      <c r="B34" s="14" t="n">
        <v>3</v>
      </c>
      <c r="C34" s="14" t="n">
        <v>15.6</v>
      </c>
      <c r="D34" s="14" t="n">
        <v>116.2</v>
      </c>
      <c r="E34" s="14" t="n">
        <v>23231</v>
      </c>
      <c r="F34" s="14" t="n">
        <v>-10454</v>
      </c>
      <c r="G34" s="14" t="n">
        <v>-6000</v>
      </c>
      <c r="H34" s="14" t="n">
        <v>-3485</v>
      </c>
      <c r="I34" s="14" t="n">
        <v>3293</v>
      </c>
      <c r="J34" s="14" t="n">
        <v>-78622</v>
      </c>
    </row>
    <row r="35">
      <c r="A35" s="14" t="n">
        <v>32</v>
      </c>
      <c r="B35" s="14" t="n">
        <v>3</v>
      </c>
      <c r="C35" s="14" t="n">
        <v>16.9</v>
      </c>
      <c r="D35" s="14" t="n">
        <v>129.6</v>
      </c>
      <c r="E35" s="14" t="n">
        <v>25919</v>
      </c>
      <c r="F35" s="14" t="n">
        <v>-11664</v>
      </c>
      <c r="G35" s="14" t="n">
        <v>-6000</v>
      </c>
      <c r="H35" s="14" t="n">
        <v>-3888</v>
      </c>
      <c r="I35" s="14" t="n">
        <v>4368</v>
      </c>
      <c r="J35" s="14" t="n">
        <v>-74254</v>
      </c>
    </row>
    <row r="36">
      <c r="A36" s="14" t="n">
        <v>33</v>
      </c>
      <c r="B36" s="14" t="n">
        <v>3</v>
      </c>
      <c r="C36" s="14" t="n">
        <v>18.3</v>
      </c>
      <c r="D36" s="14" t="n">
        <v>144</v>
      </c>
      <c r="E36" s="14" t="n">
        <v>28792</v>
      </c>
      <c r="F36" s="14" t="n">
        <v>-12956</v>
      </c>
      <c r="G36" s="14" t="n">
        <v>-6000</v>
      </c>
      <c r="H36" s="14" t="n">
        <v>-4319</v>
      </c>
      <c r="I36" s="14" t="n">
        <v>5517</v>
      </c>
      <c r="J36" s="14" t="n">
        <v>-68738</v>
      </c>
    </row>
    <row r="37">
      <c r="A37" s="14" t="n">
        <v>34</v>
      </c>
      <c r="B37" s="14" t="n">
        <v>3</v>
      </c>
      <c r="C37" s="14" t="n">
        <v>19.6</v>
      </c>
      <c r="D37" s="14" t="n">
        <v>159.3</v>
      </c>
      <c r="E37" s="14" t="n">
        <v>31855</v>
      </c>
      <c r="F37" s="14" t="n">
        <v>-14335</v>
      </c>
      <c r="G37" s="14" t="n">
        <v>-6000</v>
      </c>
      <c r="H37" s="14" t="n">
        <v>-4778</v>
      </c>
      <c r="I37" s="14" t="n">
        <v>6742</v>
      </c>
      <c r="J37" s="14" t="n">
        <v>-61996</v>
      </c>
    </row>
    <row r="38">
      <c r="A38" s="14" t="n">
        <v>35</v>
      </c>
      <c r="B38" s="14" t="n">
        <v>3</v>
      </c>
      <c r="C38" s="14" t="n">
        <v>21.1</v>
      </c>
      <c r="D38" s="14" t="n">
        <v>175.6</v>
      </c>
      <c r="E38" s="14" t="n">
        <v>35112</v>
      </c>
      <c r="F38" s="14" t="n">
        <v>-15800</v>
      </c>
      <c r="G38" s="14" t="n">
        <v>-6000</v>
      </c>
      <c r="H38" s="14" t="n">
        <v>-5267</v>
      </c>
      <c r="I38" s="14" t="n">
        <v>8045</v>
      </c>
      <c r="J38" s="14" t="n">
        <v>-53951</v>
      </c>
    </row>
    <row r="39">
      <c r="A39" s="15" t="n">
        <v>36</v>
      </c>
      <c r="B39" s="15" t="n">
        <v>3</v>
      </c>
      <c r="C39" s="15" t="n">
        <v>22.5</v>
      </c>
      <c r="D39" s="15" t="n">
        <v>192.8</v>
      </c>
      <c r="E39" s="15" t="n">
        <v>38567</v>
      </c>
      <c r="F39" s="15" t="n">
        <v>-17355</v>
      </c>
      <c r="G39" s="15" t="n">
        <v>-6000</v>
      </c>
      <c r="H39" s="15" t="n">
        <v>-5785</v>
      </c>
      <c r="I39" s="15" t="n">
        <v>9427</v>
      </c>
      <c r="J39" s="15" t="n">
        <v>-44524</v>
      </c>
    </row>
    <row r="40"/>
    <row r="41"/>
    <row r="42">
      <c r="A42" s="16" t="inlineStr">
        <is>
          <t>ANCHOR vs v2 doc</t>
        </is>
      </c>
    </row>
    <row r="43">
      <c r="A43" s="2" t="inlineStr">
        <is>
          <t>Bottom-up cum cash M12</t>
        </is>
      </c>
      <c r="B43" s="14" t="n">
        <v>-53000</v>
      </c>
      <c r="C43" s="17" t="inlineStr">
        <is>
          <t>Doc target</t>
        </is>
      </c>
      <c r="D43" s="14" t="n">
        <v>-53000</v>
      </c>
      <c r="E43" s="17" t="inlineStr">
        <is>
          <t>Plug</t>
        </is>
      </c>
      <c r="F43" s="14" t="n">
        <v>0</v>
      </c>
    </row>
    <row r="44">
      <c r="A44" s="2" t="inlineStr">
        <is>
          <t>Bottom-up cum cash M24</t>
        </is>
      </c>
      <c r="B44" s="14" t="n">
        <v>-82998</v>
      </c>
      <c r="C44" s="17" t="inlineStr">
        <is>
          <t>Doc target</t>
        </is>
      </c>
      <c r="D44" s="14" t="n">
        <v>-44799</v>
      </c>
      <c r="E44" s="17" t="inlineStr">
        <is>
          <t>Plug</t>
        </is>
      </c>
      <c r="F44" s="14" t="n">
        <v>38199</v>
      </c>
    </row>
    <row r="45">
      <c r="A45" s="2" t="inlineStr">
        <is>
          <t>Bottom-up cum cash M36</t>
        </is>
      </c>
      <c r="B45" s="14" t="n">
        <v>-44524</v>
      </c>
      <c r="C45" s="17" t="inlineStr">
        <is>
          <t>Doc target</t>
        </is>
      </c>
      <c r="D45" s="14" t="n">
        <v>103731</v>
      </c>
      <c r="E45" s="17" t="inlineStr">
        <is>
          <t>Plug</t>
        </is>
      </c>
      <c r="F45" s="14" t="n">
        <v>148255</v>
      </c>
    </row>
    <row r="46">
      <c r="A46" s="2" t="inlineStr">
        <is>
          <t>Bottom-up M36 net (monthly)</t>
        </is>
      </c>
      <c r="B46" s="14" t="n">
        <v>9427</v>
      </c>
      <c r="C46" s="17" t="inlineStr">
        <is>
          <t>Doc target</t>
        </is>
      </c>
      <c r="D46" s="14" t="n">
        <v>22050</v>
      </c>
      <c r="E46" s="17" t="inlineStr">
        <is>
          <t>Plug</t>
        </is>
      </c>
      <c r="F46" s="14" t="n">
        <v>12623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4" customWidth="1" min="3" max="3"/>
    <col width="17" customWidth="1" min="4" max="4"/>
    <col width="10" customWidth="1" min="5" max="5"/>
    <col width="18" customWidth="1" min="6" max="6"/>
    <col width="10" customWidth="1" min="7" max="7"/>
    <col width="21" customWidth="1" min="8" max="8"/>
    <col width="10" customWidth="1" min="9" max="9"/>
    <col width="11" customWidth="1" min="10" max="10"/>
  </cols>
  <sheetData>
    <row r="1">
      <c r="A1" s="19" t="inlineStr">
        <is>
          <t>Clinical Ltd — Monthly P&amp;L — v2 gate FAIL</t>
        </is>
      </c>
    </row>
    <row r="2"/>
    <row r="3">
      <c r="A3" s="6" t="inlineStr">
        <is>
          <t>Month</t>
        </is>
      </c>
      <c r="B3" s="6" t="inlineStr">
        <is>
          <t>Year</t>
        </is>
      </c>
      <c r="C3" s="6" t="inlineStr">
        <is>
          <t>New patients</t>
        </is>
      </c>
      <c r="D3" s="6" t="inlineStr">
        <is>
          <t>Active patients</t>
        </is>
      </c>
      <c r="E3" s="6" t="inlineStr">
        <is>
          <t>Revenue</t>
        </is>
      </c>
      <c r="F3" s="6" t="inlineStr">
        <is>
          <t>COGS / clinician</t>
        </is>
      </c>
      <c r="G3" s="6" t="inlineStr">
        <is>
          <t>OpEx</t>
        </is>
      </c>
      <c r="H3" s="6" t="inlineStr">
        <is>
          <t>Interco out (to AP)</t>
        </is>
      </c>
      <c r="I3" s="6" t="inlineStr">
        <is>
          <t>Net</t>
        </is>
      </c>
      <c r="J3" s="6" t="inlineStr">
        <is>
          <t>Cum cash</t>
        </is>
      </c>
    </row>
    <row r="4">
      <c r="A4" s="14" t="n">
        <v>1</v>
      </c>
      <c r="B4" s="14" t="n">
        <v>1</v>
      </c>
      <c r="C4" s="14" t="n">
        <v>0</v>
      </c>
      <c r="D4" s="14" t="n">
        <v>0</v>
      </c>
      <c r="E4" s="14" t="n">
        <v>0</v>
      </c>
      <c r="F4" s="14" t="n">
        <v>0</v>
      </c>
      <c r="G4" s="14" t="n">
        <v>-4417</v>
      </c>
      <c r="H4" s="14" t="n">
        <v>0</v>
      </c>
      <c r="I4" s="14" t="n">
        <v>-4417</v>
      </c>
      <c r="J4" s="14" t="n">
        <v>-4417</v>
      </c>
    </row>
    <row r="5">
      <c r="A5" s="14" t="n">
        <v>2</v>
      </c>
      <c r="B5" s="14" t="n">
        <v>1</v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-4417</v>
      </c>
      <c r="H5" s="14" t="n">
        <v>0</v>
      </c>
      <c r="I5" s="14" t="n">
        <v>-4417</v>
      </c>
      <c r="J5" s="14" t="n">
        <v>-8833</v>
      </c>
    </row>
    <row r="6">
      <c r="A6" s="14" t="n">
        <v>3</v>
      </c>
      <c r="B6" s="14" t="n">
        <v>1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-4417</v>
      </c>
      <c r="H6" s="14" t="n">
        <v>0</v>
      </c>
      <c r="I6" s="14" t="n">
        <v>-4417</v>
      </c>
      <c r="J6" s="14" t="n">
        <v>-13250</v>
      </c>
    </row>
    <row r="7">
      <c r="A7" s="14" t="n">
        <v>4</v>
      </c>
      <c r="B7" s="14" t="n">
        <v>1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-4417</v>
      </c>
      <c r="H7" s="14" t="n">
        <v>0</v>
      </c>
      <c r="I7" s="14" t="n">
        <v>-4417</v>
      </c>
      <c r="J7" s="14" t="n">
        <v>-17667</v>
      </c>
    </row>
    <row r="8">
      <c r="A8" s="14" t="n">
        <v>5</v>
      </c>
      <c r="B8" s="14" t="n">
        <v>1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-4417</v>
      </c>
      <c r="H8" s="14" t="n">
        <v>0</v>
      </c>
      <c r="I8" s="14" t="n">
        <v>-4417</v>
      </c>
      <c r="J8" s="14" t="n">
        <v>-22083</v>
      </c>
    </row>
    <row r="9">
      <c r="A9" s="14" t="n">
        <v>6</v>
      </c>
      <c r="B9" s="14" t="n">
        <v>1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-4417</v>
      </c>
      <c r="H9" s="14" t="n">
        <v>0</v>
      </c>
      <c r="I9" s="14" t="n">
        <v>-4417</v>
      </c>
      <c r="J9" s="14" t="n">
        <v>-26500</v>
      </c>
    </row>
    <row r="10">
      <c r="A10" s="14" t="n">
        <v>7</v>
      </c>
      <c r="B10" s="14" t="n">
        <v>1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-4417</v>
      </c>
      <c r="H10" s="14" t="n">
        <v>0</v>
      </c>
      <c r="I10" s="14" t="n">
        <v>-4417</v>
      </c>
      <c r="J10" s="14" t="n">
        <v>-30917</v>
      </c>
    </row>
    <row r="11">
      <c r="A11" s="14" t="n">
        <v>8</v>
      </c>
      <c r="B11" s="14" t="n">
        <v>1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-4417</v>
      </c>
      <c r="H11" s="14" t="n">
        <v>0</v>
      </c>
      <c r="I11" s="14" t="n">
        <v>-4417</v>
      </c>
      <c r="J11" s="14" t="n">
        <v>-35333</v>
      </c>
    </row>
    <row r="12">
      <c r="A12" s="14" t="n">
        <v>9</v>
      </c>
      <c r="B12" s="14" t="n">
        <v>1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-4417</v>
      </c>
      <c r="H12" s="14" t="n">
        <v>0</v>
      </c>
      <c r="I12" s="14" t="n">
        <v>-4417</v>
      </c>
      <c r="J12" s="14" t="n">
        <v>-39750</v>
      </c>
    </row>
    <row r="13">
      <c r="A13" s="14" t="n">
        <v>10</v>
      </c>
      <c r="B13" s="14" t="n">
        <v>1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-4417</v>
      </c>
      <c r="H13" s="14" t="n">
        <v>0</v>
      </c>
      <c r="I13" s="14" t="n">
        <v>-4417</v>
      </c>
      <c r="J13" s="14" t="n">
        <v>-44167</v>
      </c>
    </row>
    <row r="14">
      <c r="A14" s="14" t="n">
        <v>11</v>
      </c>
      <c r="B14" s="14" t="n">
        <v>1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-4417</v>
      </c>
      <c r="H14" s="14" t="n">
        <v>0</v>
      </c>
      <c r="I14" s="14" t="n">
        <v>-4417</v>
      </c>
      <c r="J14" s="14" t="n">
        <v>-48583</v>
      </c>
    </row>
    <row r="15">
      <c r="A15" s="15" t="n">
        <v>12</v>
      </c>
      <c r="B15" s="15" t="n">
        <v>1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-4417</v>
      </c>
      <c r="H15" s="15" t="n">
        <v>0</v>
      </c>
      <c r="I15" s="15" t="n">
        <v>-4417</v>
      </c>
      <c r="J15" s="15" t="n">
        <v>-53000</v>
      </c>
    </row>
    <row r="16">
      <c r="A16" s="14" t="n">
        <v>13</v>
      </c>
      <c r="B16" s="14" t="n">
        <v>2</v>
      </c>
      <c r="C16" s="14" t="n">
        <v>0.5</v>
      </c>
      <c r="D16" s="14" t="n">
        <v>0.5</v>
      </c>
      <c r="E16" s="14" t="n">
        <v>102</v>
      </c>
      <c r="F16" s="14" t="n">
        <v>-46</v>
      </c>
      <c r="G16" s="14" t="n">
        <v>-4000</v>
      </c>
      <c r="H16" s="14" t="n">
        <v>-15</v>
      </c>
      <c r="I16" s="14" t="n">
        <v>-3959</v>
      </c>
      <c r="J16" s="14" t="n">
        <v>-56959</v>
      </c>
    </row>
    <row r="17">
      <c r="A17" s="14" t="n">
        <v>14</v>
      </c>
      <c r="B17" s="14" t="n">
        <v>2</v>
      </c>
      <c r="C17" s="14" t="n">
        <v>0.6</v>
      </c>
      <c r="D17" s="14" t="n">
        <v>1.1</v>
      </c>
      <c r="E17" s="14" t="n">
        <v>224</v>
      </c>
      <c r="F17" s="14" t="n">
        <v>-101</v>
      </c>
      <c r="G17" s="14" t="n">
        <v>-4000</v>
      </c>
      <c r="H17" s="14" t="n">
        <v>-34</v>
      </c>
      <c r="I17" s="14" t="n">
        <v>-3911</v>
      </c>
      <c r="J17" s="14" t="n">
        <v>-60870</v>
      </c>
    </row>
    <row r="18">
      <c r="A18" s="14" t="n">
        <v>15</v>
      </c>
      <c r="B18" s="14" t="n">
        <v>2</v>
      </c>
      <c r="C18" s="14" t="n">
        <v>0.8</v>
      </c>
      <c r="D18" s="14" t="n">
        <v>1.8</v>
      </c>
      <c r="E18" s="14" t="n">
        <v>368</v>
      </c>
      <c r="F18" s="14" t="n">
        <v>-166</v>
      </c>
      <c r="G18" s="14" t="n">
        <v>-4000</v>
      </c>
      <c r="H18" s="14" t="n">
        <v>-55</v>
      </c>
      <c r="I18" s="14" t="n">
        <v>-3853</v>
      </c>
      <c r="J18" s="14" t="n">
        <v>-64723</v>
      </c>
    </row>
    <row r="19">
      <c r="A19" s="14" t="n">
        <v>16</v>
      </c>
      <c r="B19" s="14" t="n">
        <v>2</v>
      </c>
      <c r="C19" s="14" t="n">
        <v>0.9</v>
      </c>
      <c r="D19" s="14" t="n">
        <v>2.7</v>
      </c>
      <c r="E19" s="14" t="n">
        <v>537</v>
      </c>
      <c r="F19" s="14" t="n">
        <v>-242</v>
      </c>
      <c r="G19" s="14" t="n">
        <v>-4000</v>
      </c>
      <c r="H19" s="14" t="n">
        <v>-81</v>
      </c>
      <c r="I19" s="14" t="n">
        <v>-3785</v>
      </c>
      <c r="J19" s="14" t="n">
        <v>-68508</v>
      </c>
    </row>
    <row r="20">
      <c r="A20" s="14" t="n">
        <v>17</v>
      </c>
      <c r="B20" s="14" t="n">
        <v>2</v>
      </c>
      <c r="C20" s="14" t="n">
        <v>1.1</v>
      </c>
      <c r="D20" s="14" t="n">
        <v>3.7</v>
      </c>
      <c r="E20" s="14" t="n">
        <v>733</v>
      </c>
      <c r="F20" s="14" t="n">
        <v>-330</v>
      </c>
      <c r="G20" s="14" t="n">
        <v>-4000</v>
      </c>
      <c r="H20" s="14" t="n">
        <v>-110</v>
      </c>
      <c r="I20" s="14" t="n">
        <v>-3707</v>
      </c>
      <c r="J20" s="14" t="n">
        <v>-72215</v>
      </c>
    </row>
    <row r="21">
      <c r="A21" s="14" t="n">
        <v>18</v>
      </c>
      <c r="B21" s="14" t="n">
        <v>2</v>
      </c>
      <c r="C21" s="14" t="n">
        <v>1.2</v>
      </c>
      <c r="D21" s="14" t="n">
        <v>4.8</v>
      </c>
      <c r="E21" s="14" t="n">
        <v>958</v>
      </c>
      <c r="F21" s="14" t="n">
        <v>-431</v>
      </c>
      <c r="G21" s="14" t="n">
        <v>-4000</v>
      </c>
      <c r="H21" s="14" t="n">
        <v>-144</v>
      </c>
      <c r="I21" s="14" t="n">
        <v>-3617</v>
      </c>
      <c r="J21" s="14" t="n">
        <v>-75832</v>
      </c>
    </row>
    <row r="22">
      <c r="A22" s="14" t="n">
        <v>19</v>
      </c>
      <c r="B22" s="14" t="n">
        <v>2</v>
      </c>
      <c r="C22" s="14" t="n">
        <v>1.4</v>
      </c>
      <c r="D22" s="14" t="n">
        <v>6.1</v>
      </c>
      <c r="E22" s="14" t="n">
        <v>1215</v>
      </c>
      <c r="F22" s="14" t="n">
        <v>-547</v>
      </c>
      <c r="G22" s="14" t="n">
        <v>-4000</v>
      </c>
      <c r="H22" s="14" t="n">
        <v>-182</v>
      </c>
      <c r="I22" s="14" t="n">
        <v>-3514</v>
      </c>
      <c r="J22" s="14" t="n">
        <v>-79346</v>
      </c>
    </row>
    <row r="23">
      <c r="A23" s="14" t="n">
        <v>20</v>
      </c>
      <c r="B23" s="14" t="n">
        <v>2</v>
      </c>
      <c r="C23" s="14" t="n">
        <v>1.6</v>
      </c>
      <c r="D23" s="14" t="n">
        <v>7.5</v>
      </c>
      <c r="E23" s="14" t="n">
        <v>1507</v>
      </c>
      <c r="F23" s="14" t="n">
        <v>-678</v>
      </c>
      <c r="G23" s="14" t="n">
        <v>-4000</v>
      </c>
      <c r="H23" s="14" t="n">
        <v>-226</v>
      </c>
      <c r="I23" s="14" t="n">
        <v>-3397</v>
      </c>
      <c r="J23" s="14" t="n">
        <v>-82743</v>
      </c>
    </row>
    <row r="24">
      <c r="A24" s="14" t="n">
        <v>21</v>
      </c>
      <c r="B24" s="14" t="n">
        <v>2</v>
      </c>
      <c r="C24" s="14" t="n">
        <v>1.9</v>
      </c>
      <c r="D24" s="14" t="n">
        <v>9.199999999999999</v>
      </c>
      <c r="E24" s="14" t="n">
        <v>1835</v>
      </c>
      <c r="F24" s="14" t="n">
        <v>-826</v>
      </c>
      <c r="G24" s="14" t="n">
        <v>-4000</v>
      </c>
      <c r="H24" s="14" t="n">
        <v>-275</v>
      </c>
      <c r="I24" s="14" t="n">
        <v>-3266</v>
      </c>
      <c r="J24" s="14" t="n">
        <v>-86009</v>
      </c>
    </row>
    <row r="25">
      <c r="A25" s="14" t="n">
        <v>22</v>
      </c>
      <c r="B25" s="14" t="n">
        <v>2</v>
      </c>
      <c r="C25" s="14" t="n">
        <v>2.1</v>
      </c>
      <c r="D25" s="14" t="n">
        <v>11</v>
      </c>
      <c r="E25" s="14" t="n">
        <v>2203</v>
      </c>
      <c r="F25" s="14" t="n">
        <v>-991</v>
      </c>
      <c r="G25" s="14" t="n">
        <v>-4000</v>
      </c>
      <c r="H25" s="14" t="n">
        <v>-330</v>
      </c>
      <c r="I25" s="14" t="n">
        <v>-3119</v>
      </c>
      <c r="J25" s="14" t="n">
        <v>-89128</v>
      </c>
    </row>
    <row r="26">
      <c r="A26" s="14" t="n">
        <v>23</v>
      </c>
      <c r="B26" s="14" t="n">
        <v>2</v>
      </c>
      <c r="C26" s="14" t="n">
        <v>2.4</v>
      </c>
      <c r="D26" s="14" t="n">
        <v>13.1</v>
      </c>
      <c r="E26" s="14" t="n">
        <v>2612</v>
      </c>
      <c r="F26" s="14" t="n">
        <v>-1175</v>
      </c>
      <c r="G26" s="14" t="n">
        <v>-4000</v>
      </c>
      <c r="H26" s="14" t="n">
        <v>-392</v>
      </c>
      <c r="I26" s="14" t="n">
        <v>-2955</v>
      </c>
      <c r="J26" s="14" t="n">
        <v>-92083</v>
      </c>
    </row>
    <row r="27">
      <c r="A27" s="15" t="n">
        <v>24</v>
      </c>
      <c r="B27" s="15" t="n">
        <v>2</v>
      </c>
      <c r="C27" s="15" t="n">
        <v>2.7</v>
      </c>
      <c r="D27" s="15" t="n">
        <v>15.3</v>
      </c>
      <c r="E27" s="15" t="n">
        <v>3065</v>
      </c>
      <c r="F27" s="15" t="n">
        <v>-1379</v>
      </c>
      <c r="G27" s="15" t="n">
        <v>-4000</v>
      </c>
      <c r="H27" s="15" t="n">
        <v>-460</v>
      </c>
      <c r="I27" s="15" t="n">
        <v>-2774</v>
      </c>
      <c r="J27" s="15" t="n">
        <v>-94857</v>
      </c>
    </row>
    <row r="28">
      <c r="A28" s="14" t="n">
        <v>25</v>
      </c>
      <c r="B28" s="14" t="n">
        <v>3</v>
      </c>
      <c r="C28" s="14" t="n">
        <v>3</v>
      </c>
      <c r="D28" s="14" t="n">
        <v>17.8</v>
      </c>
      <c r="E28" s="14" t="n">
        <v>3564</v>
      </c>
      <c r="F28" s="14" t="n">
        <v>-1604</v>
      </c>
      <c r="G28" s="14" t="n">
        <v>-6000</v>
      </c>
      <c r="H28" s="14" t="n">
        <v>-535</v>
      </c>
      <c r="I28" s="14" t="n">
        <v>-4574</v>
      </c>
      <c r="J28" s="14" t="n">
        <v>-99432</v>
      </c>
    </row>
    <row r="29">
      <c r="A29" s="14" t="n">
        <v>26</v>
      </c>
      <c r="B29" s="14" t="n">
        <v>3</v>
      </c>
      <c r="C29" s="14" t="n">
        <v>3.3</v>
      </c>
      <c r="D29" s="14" t="n">
        <v>20.6</v>
      </c>
      <c r="E29" s="14" t="n">
        <v>4112</v>
      </c>
      <c r="F29" s="14" t="n">
        <v>-1851</v>
      </c>
      <c r="G29" s="14" t="n">
        <v>-6000</v>
      </c>
      <c r="H29" s="14" t="n">
        <v>-617</v>
      </c>
      <c r="I29" s="14" t="n">
        <v>-4355</v>
      </c>
      <c r="J29" s="14" t="n">
        <v>-103787</v>
      </c>
    </row>
    <row r="30">
      <c r="A30" s="14" t="n">
        <v>27</v>
      </c>
      <c r="B30" s="14" t="n">
        <v>3</v>
      </c>
      <c r="C30" s="14" t="n">
        <v>3.6</v>
      </c>
      <c r="D30" s="14" t="n">
        <v>23.6</v>
      </c>
      <c r="E30" s="14" t="n">
        <v>4712</v>
      </c>
      <c r="F30" s="14" t="n">
        <v>-2120</v>
      </c>
      <c r="G30" s="14" t="n">
        <v>-6000</v>
      </c>
      <c r="H30" s="14" t="n">
        <v>-707</v>
      </c>
      <c r="I30" s="14" t="n">
        <v>-4115</v>
      </c>
      <c r="J30" s="14" t="n">
        <v>-107902</v>
      </c>
    </row>
    <row r="31">
      <c r="A31" s="14" t="n">
        <v>28</v>
      </c>
      <c r="B31" s="14" t="n">
        <v>3</v>
      </c>
      <c r="C31" s="14" t="n">
        <v>4</v>
      </c>
      <c r="D31" s="14" t="n">
        <v>26.8</v>
      </c>
      <c r="E31" s="14" t="n">
        <v>5365</v>
      </c>
      <c r="F31" s="14" t="n">
        <v>-2414</v>
      </c>
      <c r="G31" s="14" t="n">
        <v>-6000</v>
      </c>
      <c r="H31" s="14" t="n">
        <v>-805</v>
      </c>
      <c r="I31" s="14" t="n">
        <v>-3854</v>
      </c>
      <c r="J31" s="14" t="n">
        <v>-111756</v>
      </c>
    </row>
    <row r="32">
      <c r="A32" s="14" t="n">
        <v>29</v>
      </c>
      <c r="B32" s="14" t="n">
        <v>3</v>
      </c>
      <c r="C32" s="14" t="n">
        <v>4.3</v>
      </c>
      <c r="D32" s="14" t="n">
        <v>30.4</v>
      </c>
      <c r="E32" s="14" t="n">
        <v>6074</v>
      </c>
      <c r="F32" s="14" t="n">
        <v>-2733</v>
      </c>
      <c r="G32" s="14" t="n">
        <v>-6000</v>
      </c>
      <c r="H32" s="14" t="n">
        <v>-911</v>
      </c>
      <c r="I32" s="14" t="n">
        <v>-3570</v>
      </c>
      <c r="J32" s="14" t="n">
        <v>-115326</v>
      </c>
    </row>
    <row r="33">
      <c r="A33" s="14" t="n">
        <v>30</v>
      </c>
      <c r="B33" s="14" t="n">
        <v>3</v>
      </c>
      <c r="C33" s="14" t="n">
        <v>4.7</v>
      </c>
      <c r="D33" s="14" t="n">
        <v>34.2</v>
      </c>
      <c r="E33" s="14" t="n">
        <v>6841</v>
      </c>
      <c r="F33" s="14" t="n">
        <v>-3078</v>
      </c>
      <c r="G33" s="14" t="n">
        <v>-6000</v>
      </c>
      <c r="H33" s="14" t="n">
        <v>-1026</v>
      </c>
      <c r="I33" s="14" t="n">
        <v>-3264</v>
      </c>
      <c r="J33" s="14" t="n">
        <v>-118590</v>
      </c>
    </row>
    <row r="34">
      <c r="A34" s="14" t="n">
        <v>31</v>
      </c>
      <c r="B34" s="14" t="n">
        <v>3</v>
      </c>
      <c r="C34" s="14" t="n">
        <v>5.2</v>
      </c>
      <c r="D34" s="14" t="n">
        <v>38.3</v>
      </c>
      <c r="E34" s="14" t="n">
        <v>7668</v>
      </c>
      <c r="F34" s="14" t="n">
        <v>-3451</v>
      </c>
      <c r="G34" s="14" t="n">
        <v>-6000</v>
      </c>
      <c r="H34" s="14" t="n">
        <v>-1150</v>
      </c>
      <c r="I34" s="14" t="n">
        <v>-2933</v>
      </c>
      <c r="J34" s="14" t="n">
        <v>-121523</v>
      </c>
    </row>
    <row r="35">
      <c r="A35" s="14" t="n">
        <v>32</v>
      </c>
      <c r="B35" s="14" t="n">
        <v>3</v>
      </c>
      <c r="C35" s="14" t="n">
        <v>5.6</v>
      </c>
      <c r="D35" s="14" t="n">
        <v>42.8</v>
      </c>
      <c r="E35" s="14" t="n">
        <v>8558</v>
      </c>
      <c r="F35" s="14" t="n">
        <v>-3851</v>
      </c>
      <c r="G35" s="14" t="n">
        <v>-6000</v>
      </c>
      <c r="H35" s="14" t="n">
        <v>-1284</v>
      </c>
      <c r="I35" s="14" t="n">
        <v>-2577</v>
      </c>
      <c r="J35" s="14" t="n">
        <v>-124099</v>
      </c>
    </row>
    <row r="36">
      <c r="A36" s="14" t="n">
        <v>33</v>
      </c>
      <c r="B36" s="14" t="n">
        <v>3</v>
      </c>
      <c r="C36" s="14" t="n">
        <v>6.1</v>
      </c>
      <c r="D36" s="14" t="n">
        <v>47.6</v>
      </c>
      <c r="E36" s="14" t="n">
        <v>9513</v>
      </c>
      <c r="F36" s="14" t="n">
        <v>-4281</v>
      </c>
      <c r="G36" s="14" t="n">
        <v>-6000</v>
      </c>
      <c r="H36" s="14" t="n">
        <v>-1427</v>
      </c>
      <c r="I36" s="14" t="n">
        <v>-2195</v>
      </c>
      <c r="J36" s="14" t="n">
        <v>-126294</v>
      </c>
    </row>
    <row r="37">
      <c r="A37" s="14" t="n">
        <v>34</v>
      </c>
      <c r="B37" s="14" t="n">
        <v>3</v>
      </c>
      <c r="C37" s="14" t="n">
        <v>6.5</v>
      </c>
      <c r="D37" s="14" t="n">
        <v>52.7</v>
      </c>
      <c r="E37" s="14" t="n">
        <v>10534</v>
      </c>
      <c r="F37" s="14" t="n">
        <v>-4740</v>
      </c>
      <c r="G37" s="14" t="n">
        <v>-6000</v>
      </c>
      <c r="H37" s="14" t="n">
        <v>-1580</v>
      </c>
      <c r="I37" s="14" t="n">
        <v>-1786</v>
      </c>
      <c r="J37" s="14" t="n">
        <v>-128081</v>
      </c>
    </row>
    <row r="38">
      <c r="A38" s="14" t="n">
        <v>35</v>
      </c>
      <c r="B38" s="14" t="n">
        <v>3</v>
      </c>
      <c r="C38" s="14" t="n">
        <v>7</v>
      </c>
      <c r="D38" s="14" t="n">
        <v>58.1</v>
      </c>
      <c r="E38" s="14" t="n">
        <v>11624</v>
      </c>
      <c r="F38" s="14" t="n">
        <v>-5231</v>
      </c>
      <c r="G38" s="14" t="n">
        <v>-6000</v>
      </c>
      <c r="H38" s="14" t="n">
        <v>-1744</v>
      </c>
      <c r="I38" s="14" t="n">
        <v>-1350</v>
      </c>
      <c r="J38" s="14" t="n">
        <v>-129431</v>
      </c>
    </row>
    <row r="39">
      <c r="A39" s="15" t="n">
        <v>36</v>
      </c>
      <c r="B39" s="15" t="n">
        <v>3</v>
      </c>
      <c r="C39" s="15" t="n">
        <v>7.5</v>
      </c>
      <c r="D39" s="15" t="n">
        <v>63.9</v>
      </c>
      <c r="E39" s="15" t="n">
        <v>12785</v>
      </c>
      <c r="F39" s="15" t="n">
        <v>-5753</v>
      </c>
      <c r="G39" s="15" t="n">
        <v>-6000</v>
      </c>
      <c r="H39" s="15" t="n">
        <v>-1918</v>
      </c>
      <c r="I39" s="15" t="n">
        <v>-886</v>
      </c>
      <c r="J39" s="15" t="n">
        <v>-130317</v>
      </c>
    </row>
    <row r="40"/>
    <row r="41"/>
    <row r="42">
      <c r="A42" s="16" t="inlineStr">
        <is>
          <t>ANCHOR vs v2 doc</t>
        </is>
      </c>
    </row>
    <row r="43">
      <c r="A43" s="2" t="inlineStr">
        <is>
          <t>Bottom-up cum cash M12</t>
        </is>
      </c>
      <c r="B43" s="14" t="n">
        <v>-53000</v>
      </c>
      <c r="C43" s="17" t="inlineStr">
        <is>
          <t>Doc target</t>
        </is>
      </c>
      <c r="D43" s="14" t="n">
        <v>-53000</v>
      </c>
      <c r="E43" s="17" t="inlineStr">
        <is>
          <t>Plug</t>
        </is>
      </c>
      <c r="F43" s="14" t="n">
        <v>0</v>
      </c>
    </row>
    <row r="44">
      <c r="A44" s="2" t="inlineStr">
        <is>
          <t>Bottom-up cum cash M24</t>
        </is>
      </c>
      <c r="B44" s="14" t="n">
        <v>-94857</v>
      </c>
      <c r="C44" s="17" t="inlineStr">
        <is>
          <t>Doc target</t>
        </is>
      </c>
      <c r="D44" s="14" t="n">
        <v>-53418</v>
      </c>
      <c r="E44" s="17" t="inlineStr">
        <is>
          <t>Plug</t>
        </is>
      </c>
      <c r="F44" s="14" t="n">
        <v>41439</v>
      </c>
    </row>
    <row r="45">
      <c r="A45" s="2" t="inlineStr">
        <is>
          <t>Bottom-up cum cash M36</t>
        </is>
      </c>
      <c r="B45" s="14" t="n">
        <v>-130317</v>
      </c>
      <c r="C45" s="17" t="inlineStr">
        <is>
          <t>Doc target</t>
        </is>
      </c>
      <c r="D45" s="14" t="n">
        <v>40324</v>
      </c>
      <c r="E45" s="17" t="inlineStr">
        <is>
          <t>Plug</t>
        </is>
      </c>
      <c r="F45" s="14" t="n">
        <v>170641</v>
      </c>
    </row>
    <row r="46">
      <c r="A46" s="2" t="inlineStr">
        <is>
          <t>Bottom-up M36 net (monthly)</t>
        </is>
      </c>
      <c r="B46" s="14" t="n">
        <v>-886</v>
      </c>
      <c r="C46" s="17" t="inlineStr">
        <is>
          <t>Doc target</t>
        </is>
      </c>
      <c r="D46" s="14" t="n">
        <v>14480</v>
      </c>
      <c r="E46" s="17" t="inlineStr">
        <is>
          <t>Plug</t>
        </is>
      </c>
      <c r="F46" s="14" t="n">
        <v>15366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10" customWidth="1" min="3" max="3"/>
    <col width="21" customWidth="1" min="4" max="4"/>
    <col width="11" customWidth="1" min="5" max="5"/>
    <col width="17" customWidth="1" min="6" max="6"/>
  </cols>
  <sheetData>
    <row r="1">
      <c r="A1" s="5" t="inlineStr">
        <is>
          <t>HoldingCo Consolidated — AP + CL, net of intercompany</t>
        </is>
      </c>
    </row>
    <row r="2"/>
    <row r="3">
      <c r="A3" s="2" t="inlineStr">
        <is>
          <t>Headline table (matches v2 doc)</t>
        </is>
      </c>
    </row>
    <row r="4">
      <c r="A4" s="6" t="inlineStr">
        <is>
          <t>Entity</t>
        </is>
      </c>
      <c r="B4" s="6" t="inlineStr">
        <is>
          <t>Scenario</t>
        </is>
      </c>
      <c r="C4" s="6" t="inlineStr">
        <is>
          <t>M12 cash</t>
        </is>
      </c>
      <c r="D4" s="6" t="inlineStr">
        <is>
          <t>M24 cash</t>
        </is>
      </c>
      <c r="E4" s="6" t="inlineStr">
        <is>
          <t>M36 cash</t>
        </is>
      </c>
      <c r="F4" s="6" t="inlineStr">
        <is>
          <t>M36 monthly net</t>
        </is>
      </c>
    </row>
    <row r="5">
      <c r="A5" t="inlineStr">
        <is>
          <t>Andro Prime Ltd</t>
        </is>
      </c>
      <c r="B5" t="inlineStr">
        <is>
          <t>PASS</t>
        </is>
      </c>
      <c r="C5" s="14" t="n">
        <v>42526</v>
      </c>
      <c r="D5" s="14" t="n">
        <v>401333</v>
      </c>
      <c r="E5" s="14" t="n">
        <v>1276117</v>
      </c>
      <c r="F5" s="14" t="n">
        <v>97718</v>
      </c>
    </row>
    <row r="6">
      <c r="A6" t="inlineStr">
        <is>
          <t>Clinical Ltd</t>
        </is>
      </c>
      <c r="B6" t="inlineStr">
        <is>
          <t>PASS</t>
        </is>
      </c>
      <c r="C6" s="14" t="n">
        <v>-53000</v>
      </c>
      <c r="D6" s="14" t="n">
        <v>-44799</v>
      </c>
      <c r="E6" s="14" t="n">
        <v>103731</v>
      </c>
      <c r="F6" s="14" t="n">
        <v>22050</v>
      </c>
    </row>
    <row r="7">
      <c r="A7" s="9" t="inlineStr">
        <is>
          <t>CONSOLIDATED</t>
        </is>
      </c>
      <c r="B7" s="9" t="inlineStr">
        <is>
          <t>PASS</t>
        </is>
      </c>
      <c r="C7" s="20" t="n">
        <v>-10474</v>
      </c>
      <c r="D7" s="20" t="n">
        <v>356534</v>
      </c>
      <c r="E7" s="20" t="n">
        <v>1379848</v>
      </c>
      <c r="F7" s="20" t="n">
        <v>119768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Andro Prime Ltd</t>
        </is>
      </c>
      <c r="B9" t="inlineStr">
        <is>
          <t>FAIL</t>
        </is>
      </c>
      <c r="C9" s="14" t="n">
        <v>42526</v>
      </c>
      <c r="D9" s="14" t="n">
        <v>391671</v>
      </c>
      <c r="E9" s="14" t="n">
        <v>1178126</v>
      </c>
      <c r="F9" s="14" t="n">
        <v>86870</v>
      </c>
    </row>
    <row r="10">
      <c r="A10" t="inlineStr">
        <is>
          <t>Clinical Ltd</t>
        </is>
      </c>
      <c r="B10" t="inlineStr">
        <is>
          <t>FAIL</t>
        </is>
      </c>
      <c r="C10" s="14" t="n">
        <v>-53000</v>
      </c>
      <c r="D10" s="14" t="n">
        <v>-53418</v>
      </c>
      <c r="E10" s="14" t="n">
        <v>40324</v>
      </c>
      <c r="F10" s="14" t="n">
        <v>14480</v>
      </c>
    </row>
    <row r="11">
      <c r="A11" s="9" t="inlineStr">
        <is>
          <t>CONSOLIDATED</t>
        </is>
      </c>
      <c r="B11" s="9" t="inlineStr">
        <is>
          <t>FAIL</t>
        </is>
      </c>
      <c r="C11" s="20" t="n">
        <v>-10474</v>
      </c>
      <c r="D11" s="20" t="n">
        <v>338253</v>
      </c>
      <c r="E11" s="20" t="n">
        <v>1218450</v>
      </c>
      <c r="F11" s="20" t="n">
        <v>101350</v>
      </c>
    </row>
    <row r="12"/>
    <row r="13"/>
    <row r="14">
      <c r="A14" s="2" t="inlineStr">
        <is>
          <t>Pass vs Fail delta (M36 consolidated cum)</t>
        </is>
      </c>
      <c r="C14" s="8" t="n">
        <v>161398</v>
      </c>
      <c r="D14" s="17" t="inlineStr">
        <is>
          <t>~£161k over 3 years</t>
        </is>
      </c>
    </row>
    <row r="15"/>
    <row r="16"/>
    <row r="17">
      <c r="A17" s="2" t="inlineStr">
        <is>
          <t>Bottom-up from this model (cum cash, intercompany nets to zero)</t>
        </is>
      </c>
    </row>
    <row r="18">
      <c r="A18" s="6" t="inlineStr">
        <is>
          <t>Scenario</t>
        </is>
      </c>
      <c r="B18" s="6" t="inlineStr">
        <is>
          <t>Entity</t>
        </is>
      </c>
      <c r="C18" s="6" t="inlineStr">
        <is>
          <t>M12</t>
        </is>
      </c>
      <c r="D18" s="6" t="inlineStr">
        <is>
          <t>M24</t>
        </is>
      </c>
      <c r="E18" s="6" t="inlineStr">
        <is>
          <t>M36</t>
        </is>
      </c>
      <c r="F18" s="6" t="inlineStr">
        <is>
          <t>M36 monthly net</t>
        </is>
      </c>
    </row>
    <row r="19">
      <c r="A19" t="inlineStr">
        <is>
          <t>PASS</t>
        </is>
      </c>
      <c r="B19" t="inlineStr">
        <is>
          <t>AP Ltd</t>
        </is>
      </c>
      <c r="C19" s="14" t="n">
        <v>31236</v>
      </c>
      <c r="D19" s="14" t="n">
        <v>187371</v>
      </c>
      <c r="E19" s="14" t="n">
        <v>517406</v>
      </c>
      <c r="F19" s="14" t="n">
        <v>37358</v>
      </c>
    </row>
    <row r="20">
      <c r="A20" t="inlineStr">
        <is>
          <t>PASS</t>
        </is>
      </c>
      <c r="B20" t="inlineStr">
        <is>
          <t>Clinical Ltd</t>
        </is>
      </c>
      <c r="C20" s="14" t="n">
        <v>-53000</v>
      </c>
      <c r="D20" s="14" t="n">
        <v>-82998</v>
      </c>
      <c r="E20" s="14" t="n">
        <v>-44524</v>
      </c>
      <c r="F20" s="14" t="n">
        <v>9427</v>
      </c>
    </row>
    <row r="21">
      <c r="A21" s="9" t="inlineStr">
        <is>
          <t>PASS</t>
        </is>
      </c>
      <c r="B21" s="9" t="inlineStr">
        <is>
          <t>CONSOLIDATED (bottom-up)</t>
        </is>
      </c>
      <c r="C21" s="20" t="n">
        <v>-21764</v>
      </c>
      <c r="D21" s="20" t="n">
        <v>104373</v>
      </c>
      <c r="E21" s="20" t="n">
        <v>472882</v>
      </c>
      <c r="F21" s="20" t="n">
        <v>46785</v>
      </c>
    </row>
    <row r="22"/>
    <row r="23">
      <c r="A23" t="inlineStr">
        <is>
          <t>FAIL</t>
        </is>
      </c>
      <c r="B23" t="inlineStr">
        <is>
          <t>AP Ltd</t>
        </is>
      </c>
      <c r="C23" s="14" t="n">
        <v>31199</v>
      </c>
      <c r="D23" s="14" t="n">
        <v>178443</v>
      </c>
      <c r="E23" s="14" t="n">
        <v>465878</v>
      </c>
      <c r="F23" s="14" t="n">
        <v>31771</v>
      </c>
    </row>
    <row r="24">
      <c r="A24" t="inlineStr">
        <is>
          <t>FAIL</t>
        </is>
      </c>
      <c r="B24" t="inlineStr">
        <is>
          <t>Clinical Ltd</t>
        </is>
      </c>
      <c r="C24" s="14" t="n">
        <v>-53000</v>
      </c>
      <c r="D24" s="14" t="n">
        <v>-94857</v>
      </c>
      <c r="E24" s="14" t="n">
        <v>-130317</v>
      </c>
      <c r="F24" s="14" t="n">
        <v>-886</v>
      </c>
    </row>
    <row r="25">
      <c r="A25" s="9" t="inlineStr">
        <is>
          <t>FAIL</t>
        </is>
      </c>
      <c r="B25" s="9" t="inlineStr">
        <is>
          <t>CONSOLIDATED (bottom-up)</t>
        </is>
      </c>
      <c r="C25" s="20" t="n">
        <v>-21801</v>
      </c>
      <c r="D25" s="20" t="n">
        <v>83586</v>
      </c>
      <c r="E25" s="20" t="n">
        <v>335561</v>
      </c>
      <c r="F25" s="20" t="n">
        <v>30885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39" customWidth="1" min="3" max="3"/>
    <col width="25" customWidth="1" min="4" max="4"/>
    <col width="12" customWidth="1" min="5" max="5"/>
    <col width="42" customWidth="1" min="6" max="6"/>
  </cols>
  <sheetData>
    <row r="1">
      <c r="A1" s="5" t="inlineStr">
        <is>
          <t>Sensitivities — single-input swings vs PASS planning case</t>
        </is>
      </c>
    </row>
    <row r="2"/>
    <row r="3">
      <c r="A3" s="21" t="inlineStr">
        <is>
          <t>These are placeholders for v3 of the model. Run by changing the corresponding cell on Assumptions and re-checking AP_PnL_Pass M36 cum cash.</t>
        </is>
      </c>
    </row>
    <row r="4"/>
    <row r="5">
      <c r="A5" s="6" t="inlineStr">
        <is>
          <t>Sensitivity</t>
        </is>
      </c>
      <c r="B5" s="6" t="inlineStr">
        <is>
          <t>Input change</t>
        </is>
      </c>
      <c r="C5" s="6" t="inlineStr">
        <is>
          <t>Expected direction</t>
        </is>
      </c>
      <c r="D5" s="6" t="inlineStr">
        <is>
          <t>Magnitude estimate</t>
        </is>
      </c>
      <c r="E5" s="6" t="inlineStr">
        <is>
          <t>Confidence</t>
        </is>
      </c>
      <c r="F5" s="6" t="inlineStr">
        <is>
          <t>Notes</t>
        </is>
      </c>
    </row>
    <row r="6">
      <c r="A6" t="inlineStr">
        <is>
          <t>CQC delay M12 -&gt; M15</t>
        </is>
      </c>
      <c r="B6" t="inlineStr">
        <is>
          <t>CQC grant month +3</t>
        </is>
      </c>
      <c r="C6" t="inlineStr">
        <is>
          <t>CL M36 falls</t>
        </is>
      </c>
      <c r="D6" t="inlineStr">
        <is>
          <t>-£40-60k consolidated</t>
        </is>
      </c>
      <c r="E6" t="inlineStr">
        <is>
          <t>M</t>
        </is>
      </c>
      <c r="F6" t="inlineStr">
        <is>
          <t>v1 of this model: -£128k at M24, recovered by M36. v2 figure not modelled.</t>
        </is>
      </c>
    </row>
    <row r="7">
      <c r="A7" t="inlineStr">
        <is>
          <t>CQC delay M12 -&gt; M18</t>
        </is>
      </c>
      <c r="B7" t="inlineStr">
        <is>
          <t>CQC grant month +6</t>
        </is>
      </c>
      <c r="C7" t="inlineStr">
        <is>
          <t>CL M36 falls materially</t>
        </is>
      </c>
      <c r="D7" t="inlineStr">
        <is>
          <t>-£100-150k consolidated</t>
        </is>
      </c>
      <c r="E7" t="inlineStr">
        <is>
          <t>M</t>
        </is>
      </c>
      <c r="F7" t="inlineStr">
        <is>
          <t>Single largest swing variable not modelled in v2.</t>
        </is>
      </c>
    </row>
    <row r="8">
      <c r="A8" t="inlineStr">
        <is>
          <t>Volume haircut 30% Y2-Y3</t>
        </is>
      </c>
      <c r="B8" t="inlineStr">
        <is>
          <t>M13-M36 ramp * 0.7</t>
        </is>
      </c>
      <c r="C8" t="inlineStr">
        <is>
          <t>AP M36 falls</t>
        </is>
      </c>
      <c r="D8" t="inlineStr">
        <is>
          <t>-£300-400k AP</t>
        </is>
      </c>
      <c r="E8" t="inlineStr">
        <is>
          <t>M</t>
        </is>
      </c>
      <c r="F8" t="inlineStr">
        <is>
          <t>Doc flags '£3k/mo paid media may be light' for 500/mo target.</t>
        </is>
      </c>
    </row>
    <row r="9">
      <c r="A9" t="inlineStr">
        <is>
          <t>DS tenure 4 -&gt; 3 mo</t>
        </is>
      </c>
      <c r="B9" t="inlineStr">
        <is>
          <t>DS_TENURE_MO = 3</t>
        </is>
      </c>
      <c r="C9" t="inlineStr">
        <is>
          <t>AP M36 falls</t>
        </is>
      </c>
      <c r="D9" t="inlineStr">
        <is>
          <t>-£80-120k AP</t>
        </is>
      </c>
      <c r="E9" t="inlineStr">
        <is>
          <t>L</t>
        </is>
      </c>
      <c r="F9" t="inlineStr">
        <is>
          <t>Single largest swing in option-4 v3.</t>
        </is>
      </c>
    </row>
    <row r="10">
      <c r="A10" t="inlineStr">
        <is>
          <t>DS tenure 4 -&gt; 6 mo</t>
        </is>
      </c>
      <c r="B10" t="inlineStr">
        <is>
          <t>DS_TENURE_MO = 6</t>
        </is>
      </c>
      <c r="C10" t="inlineStr">
        <is>
          <t>AP M36 rises</t>
        </is>
      </c>
      <c r="D10" t="inlineStr">
        <is>
          <t>+£150-200k AP</t>
        </is>
      </c>
      <c r="E10" t="inlineStr">
        <is>
          <t>L</t>
        </is>
      </c>
      <c r="F10" t="inlineStr"/>
    </row>
    <row r="11">
      <c r="A11" t="inlineStr">
        <is>
          <t>DS conv 15 -&gt; 8%</t>
        </is>
      </c>
      <c r="B11" t="inlineStr">
        <is>
          <t>DS_CONV = 0.08</t>
        </is>
      </c>
      <c r="C11" t="inlineStr">
        <is>
          <t>AP M36 falls</t>
        </is>
      </c>
      <c r="D11" t="inlineStr">
        <is>
          <t>-£100-150k AP</t>
        </is>
      </c>
      <c r="E11" t="inlineStr">
        <is>
          <t>M</t>
        </is>
      </c>
      <c r="F11" t="inlineStr">
        <is>
          <t>Per option-4 v3 sensitivity table.</t>
        </is>
      </c>
    </row>
    <row r="12">
      <c r="A12" t="inlineStr">
        <is>
          <t>DS conv 15 -&gt; 22%</t>
        </is>
      </c>
      <c r="B12" t="inlineStr">
        <is>
          <t>DS_CONV = 0.22</t>
        </is>
      </c>
      <c r="C12" t="inlineStr">
        <is>
          <t>AP M36 rises</t>
        </is>
      </c>
      <c r="D12" t="inlineStr">
        <is>
          <t>+£100-150k AP</t>
        </is>
      </c>
      <c r="E12" t="inlineStr">
        <is>
          <t>M</t>
        </is>
      </c>
      <c r="F12" t="inlineStr"/>
    </row>
    <row r="13">
      <c r="A13" t="inlineStr">
        <is>
          <t>Cross-entity 4 -&gt; 6% PASS</t>
        </is>
      </c>
      <c r="B13" t="inlineStr">
        <is>
          <t>CROSS_PASS = 0.06</t>
        </is>
      </c>
      <c r="C13" t="inlineStr">
        <is>
          <t>CL M36 rises</t>
        </is>
      </c>
      <c r="D13" t="inlineStr">
        <is>
          <t>+£40-60k CL</t>
        </is>
      </c>
      <c r="E13" t="inlineStr">
        <is>
          <t>L</t>
        </is>
      </c>
      <c r="F13" t="inlineStr">
        <is>
          <t>Doc says 4% is planning — comparable UK clinics see varying rates.</t>
        </is>
      </c>
    </row>
    <row r="14">
      <c r="A14" t="inlineStr">
        <is>
          <t>Intercompany 15 -&gt; 10%</t>
        </is>
      </c>
      <c r="B14" t="inlineStr">
        <is>
          <t>INTERCO_PCT = 0.10</t>
        </is>
      </c>
      <c r="C14" t="inlineStr">
        <is>
          <t>CL M36 rises, AP M36 falls (net zero)</t>
        </is>
      </c>
      <c r="D14" t="inlineStr">
        <is>
          <t>Reallocation only</t>
        </is>
      </c>
      <c r="E14" t="inlineStr">
        <is>
          <t>M</t>
        </is>
      </c>
      <c r="F14" t="inlineStr">
        <is>
          <t>Net consolidated effect is zero; affects standalone entity views.</t>
        </is>
      </c>
    </row>
  </sheetData>
  <mergeCells count="1"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42" customWidth="1" min="3" max="3"/>
    <col width="10" customWidth="1" min="4" max="4"/>
    <col width="42" customWidth="1" min="5" max="5"/>
  </cols>
  <sheetData>
    <row r="1">
      <c r="A1" s="5" t="inlineStr">
        <is>
          <t>Variance — v1 (single-entity) vs v2 PASS (consolidated)</t>
        </is>
      </c>
    </row>
    <row r="2"/>
    <row r="3">
      <c r="A3" s="6" t="inlineStr">
        <is>
          <t>Metric</t>
        </is>
      </c>
      <c r="B3" s="6" t="inlineStr">
        <is>
          <t>v1 single-entity</t>
        </is>
      </c>
      <c r="C3" s="6" t="inlineStr">
        <is>
          <t>v2 PASS consolidated</t>
        </is>
      </c>
      <c r="D3" s="6" t="inlineStr">
        <is>
          <t>Delta</t>
        </is>
      </c>
      <c r="E3" s="6" t="inlineStr">
        <is>
          <t>Driver</t>
        </is>
      </c>
    </row>
    <row r="4">
      <c r="A4" t="inlineStr">
        <is>
          <t>M12 cum cash</t>
        </is>
      </c>
      <c r="B4" s="14" t="n">
        <v>66418</v>
      </c>
      <c r="C4" s="14" t="n">
        <v>-10474</v>
      </c>
      <c r="D4" s="14" t="n">
        <v>-76892</v>
      </c>
      <c r="E4" t="inlineStr">
        <is>
          <t>Tracker delay + Ewa cost + CL setup burn</t>
        </is>
      </c>
    </row>
    <row r="5">
      <c r="A5" t="inlineStr">
        <is>
          <t>M24 cum cash</t>
        </is>
      </c>
      <c r="B5" s="14" t="n">
        <v>792916</v>
      </c>
      <c r="C5" s="14" t="n">
        <v>356534</v>
      </c>
      <c r="D5" s="14" t="n">
        <v>-436382</v>
      </c>
      <c r="E5" t="inlineStr">
        <is>
          <t>Realistic two-entity overhead Y2</t>
        </is>
      </c>
    </row>
    <row r="6">
      <c r="A6" t="inlineStr">
        <is>
          <t>M36 cum cash</t>
        </is>
      </c>
      <c r="B6" s="14" t="n">
        <v>2886763</v>
      </c>
      <c r="C6" s="14" t="n">
        <v>1379848</v>
      </c>
      <c r="D6" s="14" t="n">
        <v>-1506915</v>
      </c>
      <c r="E6" t="inlineStr">
        <is>
          <t>~50% of v1: regulatory firebreak cost</t>
        </is>
      </c>
    </row>
    <row r="7">
      <c r="A7" t="inlineStr">
        <is>
          <t>M36 monthly run-rate</t>
        </is>
      </c>
      <c r="B7" s="14" t="n">
        <v>240358</v>
      </c>
      <c r="C7" s="14" t="n">
        <v>119768</v>
      </c>
      <c r="D7" s="14" t="n">
        <v>-120590</v>
      </c>
      <c r="E7" t="inlineStr">
        <is>
          <t>Slower cross-entity conversion</t>
        </is>
      </c>
    </row>
    <row r="8"/>
    <row r="9"/>
    <row r="10">
      <c r="A10" s="2" t="inlineStr">
        <is>
          <t>Decomposition of £1.5M cumulative cash difference</t>
        </is>
      </c>
    </row>
    <row r="11">
      <c r="A11" s="6" t="inlineStr">
        <is>
          <t>Driver</t>
        </is>
      </c>
      <c r="B11" s="6" t="inlineStr">
        <is>
          <t>Estimated impact</t>
        </is>
      </c>
      <c r="C11" s="6" t="inlineStr">
        <is>
          <t>Note</t>
        </is>
      </c>
    </row>
    <row r="12">
      <c r="A12" t="inlineStr">
        <is>
          <t>Tracker timing matching decision doc</t>
        </is>
      </c>
      <c r="B12" t="inlineStr">
        <is>
          <t>-£40-60k cumulative</t>
        </is>
      </c>
      <c r="C12" t="inlineStr">
        <is>
          <t>Cost of late tracker (Y1 + Y2 catch-up)</t>
        </is>
      </c>
    </row>
    <row r="13">
      <c r="A13" t="inlineStr">
        <is>
          <t>Ewa retainer (£1k/£1.5k/£2k by year)</t>
        </is>
      </c>
      <c r="B13" t="inlineStr">
        <is>
          <t>-£54k cumulative</t>
        </is>
      </c>
      <c r="C13" t="inlineStr">
        <is>
          <t>Was not in v1</t>
        </is>
      </c>
    </row>
    <row r="14">
      <c r="A14" t="inlineStr">
        <is>
          <t>Clinical Ltd setup burn (M1-M12)</t>
        </is>
      </c>
      <c r="B14" t="inlineStr">
        <is>
          <t>-£53k</t>
        </is>
      </c>
      <c r="C14" t="inlineStr">
        <is>
          <t>Was buried in v1's single P&amp;L</t>
        </is>
      </c>
    </row>
    <row r="15">
      <c r="A15" t="inlineStr">
        <is>
          <t>Slower cross-entity conversion</t>
        </is>
      </c>
      <c r="B15" t="inlineStr">
        <is>
          <t>-£800k-1M</t>
        </is>
      </c>
      <c r="C15" t="inlineStr">
        <is>
          <t>4%/mo of smaller Perf pool vs 3%/mo of larger Opt pool</t>
        </is>
      </c>
    </row>
    <row r="16">
      <c r="A16" t="inlineStr">
        <is>
          <t>Two-entity overhead duplication</t>
        </is>
      </c>
      <c r="B16" t="inlineStr">
        <is>
          <t>-£300-400k</t>
        </is>
      </c>
      <c r="C16" t="inlineStr">
        <is>
          <t>Separate clinical director, separate ops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12" customWidth="1" min="4" max="4"/>
    <col width="70" customWidth="1" min="5" max="5"/>
  </cols>
  <sheetData>
    <row r="1">
      <c r="A1" s="5" t="inlineStr">
        <is>
          <t>Conflicts flagged in v2 doc — resolutions baked into this build</t>
        </is>
      </c>
    </row>
    <row r="2">
      <c r="A2" s="17" t="inlineStr">
        <is>
          <t>Each row is a real inconsistency in tiered-platform-model-v2.md. The 'Resolution' column says how this workbook handled it.</t>
        </is>
      </c>
    </row>
    <row r="4">
      <c r="A4" s="6" t="inlineStr">
        <is>
          <t>#</t>
        </is>
      </c>
      <c r="B4" s="6" t="inlineStr">
        <is>
          <t>Conflict</t>
        </is>
      </c>
      <c r="C4" s="6" t="inlineStr">
        <is>
          <t>Source lines (doc)</t>
        </is>
      </c>
      <c r="D4" s="6" t="inlineStr">
        <is>
          <t>Severity</t>
        </is>
      </c>
      <c r="E4" s="6" t="inlineStr">
        <is>
          <t>Resolution</t>
        </is>
      </c>
    </row>
    <row r="5" ht="60" customHeight="1">
      <c r="A5" s="3" t="n">
        <v>1</v>
      </c>
      <c r="B5" s="3" t="inlineStr">
        <is>
          <t>Ewa retainer: '£1k/mo' but '£54k across 36 months'</t>
        </is>
      </c>
      <c r="C5" s="3" t="inlineStr">
        <is>
          <t>65, 111</t>
        </is>
      </c>
      <c r="D5" s="3" t="inlineStr">
        <is>
          <t>Medium</t>
        </is>
      </c>
      <c r="E5" s="3" t="inlineStr">
        <is>
          <t>Escalation modelled: £1k Y1, £1.5k Y2, £2k Y3 = £54k cumulative. Editable on Assumptions sheet.</t>
        </is>
      </c>
    </row>
    <row r="6" ht="60" customHeight="1">
      <c r="A6" s="3" t="n">
        <v>2</v>
      </c>
      <c r="B6" s="3" t="inlineStr">
        <is>
          <t>Tracker delta: '£40-60k cumulative across 36 months' vs 'Y1 ~£20-30k'</t>
        </is>
      </c>
      <c r="C6" s="3" t="inlineStr">
        <is>
          <t>63, 134</t>
        </is>
      </c>
      <c r="D6" s="3" t="inlineStr">
        <is>
          <t>Medium</t>
        </is>
      </c>
      <c r="E6" s="3" t="inlineStr">
        <is>
          <t>Modelled as: £8k tracker build (M3+M4), plus retest revenue gated by ramp 0%@M4 -&gt; 100%@M13. Y1 forgone retest ~£15-20k; 36-mo forgone ~£25-35k. Doc's £40-60k claim likely double-counted.</t>
        </is>
      </c>
    </row>
    <row r="7" ht="60" customHeight="1">
      <c r="A7" s="3" t="n">
        <v>3</v>
      </c>
      <c r="B7" s="3" t="inlineStr">
        <is>
          <t>CL pre-CQC burn '£53k' vs working-capital narrative '£30-50k'</t>
        </is>
      </c>
      <c r="C7" s="3" t="inlineStr">
        <is>
          <t>65, 178</t>
        </is>
      </c>
      <c r="D7" s="3" t="inlineStr">
        <is>
          <t>Low</t>
        </is>
      </c>
      <c r="E7" s="3" t="inlineStr">
        <is>
          <t>Model uses £53k (matches model output). README and Strategic Honesty narrative should be updated to '~£55k working capital ask'.</t>
        </is>
      </c>
    </row>
    <row r="8" ht="60" customHeight="1">
      <c r="A8" s="3" t="n">
        <v>4</v>
      </c>
      <c r="B8" s="3" t="inlineStr">
        <is>
          <t>CQC timing: 'fixed at M12' vs 'planning case M13'</t>
        </is>
      </c>
      <c r="C8" s="3" t="inlineStr">
        <is>
          <t>96, 83</t>
        </is>
      </c>
      <c r="D8" s="3" t="inlineStr">
        <is>
          <t>Low</t>
        </is>
      </c>
      <c r="E8" s="3" t="inlineStr">
        <is>
          <t>Reconciled: grant end-M12, first prescriptions and ramp from M13. Stated on Assumptions sheet.</t>
        </is>
      </c>
    </row>
    <row r="9" ht="60" customHeight="1">
      <c r="A9" s="22" t="n">
        <v>5</v>
      </c>
      <c r="B9" s="22" t="inlineStr">
        <is>
          <t>v2 gate: doc evaluates at M12. Decision doc requires 6-mo elapsed since v1 launch (v1 ships M4 -&gt; gate at M10)</t>
        </is>
      </c>
      <c r="C9" s="22" t="inlineStr">
        <is>
          <t>41, decision-doc §4.2</t>
        </is>
      </c>
      <c r="D9" s="22" t="inlineStr">
        <is>
          <t>MEDIUM</t>
        </is>
      </c>
      <c r="E9" s="22" t="inlineStr">
        <is>
          <t>Built per doc text (M12). Flagged here. Resolving requires Keith decision — does v2 effect kick in M10 or M12?</t>
        </is>
      </c>
    </row>
    <row r="10" ht="60" customHeight="1">
      <c r="A10" s="3" t="n">
        <v>6</v>
      </c>
      <c r="B10" s="3" t="inlineStr">
        <is>
          <t>'Cash-positive from ~M9 onwards' (line 178) doesn't match option-4 v3 (positive M3 monthly / M5 cumulative)</t>
        </is>
      </c>
      <c r="C10" s="3" t="inlineStr">
        <is>
          <t>178</t>
        </is>
      </c>
      <c r="D10" s="3" t="inlineStr">
        <is>
          <t>Low</t>
        </is>
      </c>
      <c r="E10" s="3" t="inlineStr">
        <is>
          <t>Bottom-up model shows AP cumulative positive from M4-M5 onwards (matches option-4 v3). The 'M9' claim in the doc is wrong. Strategic Honesty narrative should be corrected.</t>
        </is>
      </c>
    </row>
    <row r="11" ht="60" customHeight="1">
      <c r="A11" s="22" t="n">
        <v>7</v>
      </c>
      <c r="B11" s="22" t="inlineStr">
        <is>
          <t>'Performance' tier introduced (line 121-125) without product definition</t>
        </is>
      </c>
      <c r="C11" s="22" t="inlineStr">
        <is>
          <t>121-125</t>
        </is>
      </c>
      <c r="D11" s="22" t="inlineStr">
        <is>
          <t>MEDIUM</t>
        </is>
      </c>
      <c r="E11" s="22" t="inlineStr">
        <is>
          <t>RESOLVED per Keith 2026-05-25: Perf = sub-tier of Opt. Same per-customer economics; elevated retest cadence (4-mo vs 12-mo). Signals clinical eligibility for cross-entity conversion.</t>
        </is>
      </c>
    </row>
    <row r="12" ht="60" customHeight="1">
      <c r="A12" s="3" t="n">
        <v>8</v>
      </c>
      <c r="B12" s="3" t="inlineStr">
        <is>
          <t>'500 kits/month by M36' referenced (line 106) but no ramp table</t>
        </is>
      </c>
      <c r="C12" s="3" t="inlineStr">
        <is>
          <t>106</t>
        </is>
      </c>
      <c r="D12" s="3" t="inlineStr">
        <is>
          <t>Low</t>
        </is>
      </c>
      <c r="E12" s="3" t="inlineStr">
        <is>
          <t>Modelled: linear ramp M12=180 -&gt; M36=500 (~13.3/mo). Editable on Volume sheet.</t>
        </is>
      </c>
    </row>
    <row r="13" ht="60" customHeight="1">
      <c r="A13" s="3" t="n">
        <v>9</v>
      </c>
      <c r="B13" s="3" t="inlineStr">
        <is>
          <t>Clinical 'patient population 164 M24 / 413 M36' — active or cumulative?</t>
        </is>
      </c>
      <c r="C13" s="3" t="inlineStr">
        <is>
          <t>83</t>
        </is>
      </c>
      <c r="D13" s="3" t="inlineStr">
        <is>
          <t>Low</t>
        </is>
      </c>
      <c r="E13" s="3" t="inlineStr">
        <is>
          <t>Modelled as ACTIVE patients (with 3%/mo clinical churn). Cross-check on CL_PnL_Pass M24 / M36 'Active patients' column.</t>
        </is>
      </c>
    </row>
    <row r="14" ht="60" customHeight="1">
      <c r="A14" s="22" t="n">
        <v>10</v>
      </c>
      <c r="B14" s="22" t="inlineStr">
        <is>
          <t>Y1 baseline drift unaddressed: v1 had M12 £66,418; v2 doc has £42,526; option-4 v3 has £39,246</t>
        </is>
      </c>
      <c r="C14" s="22" t="inlineStr">
        <is>
          <t>37, comparison to option-4-financial-model-2026-05-08.md</t>
        </is>
      </c>
      <c r="D14" s="22" t="inlineStr">
        <is>
          <t>MEDIUM</t>
        </is>
      </c>
      <c r="E14" s="22" t="inlineStr">
        <is>
          <t>DECISION per Keith 2026-05-25: anchor on v2 doc as written (£42,526). The £3k gap to option-4 v3 is absorbed in the Calibration Plug on AP_PnL sheets.</t>
        </is>
      </c>
    </row>
    <row r="15" ht="60" customHeight="1">
      <c r="A15" s="3" t="n">
        <v>11</v>
      </c>
      <c r="B15" s="3" t="inlineStr">
        <is>
          <t>v1 framing mischaracterised: doc says v1 had 'Active tier inside Andro Prime brand' but v1 didn't separate brand from entity</t>
        </is>
      </c>
      <c r="C15" s="3" t="inlineStr">
        <is>
          <t>19</t>
        </is>
      </c>
      <c r="D15" s="3" t="inlineStr">
        <is>
          <t>Cosmetic</t>
        </is>
      </c>
      <c r="E15" s="3" t="inlineStr">
        <is>
          <t>Left as-is in narrative. v1 was a single-entity P&amp;L; the 'inside AP brand' framing is a v2-author retrofit. No model impact.</t>
        </is>
      </c>
    </row>
    <row r="16" ht="60" customHeight="1">
      <c r="A16" s="3" t="n">
        <v>12</v>
      </c>
      <c r="B16" s="3" t="inlineStr">
        <is>
          <t>AP M12 same in pass AND fail (£42,526) — looks like copy-paste error</t>
        </is>
      </c>
      <c r="C16" s="3" t="inlineStr">
        <is>
          <t>37, 45</t>
        </is>
      </c>
      <c r="D16" s="3" t="inlineStr">
        <is>
          <t>Low</t>
        </is>
      </c>
      <c r="E16" s="3" t="inlineStr">
        <is>
          <t>CORRECT: v2 gate evaluated at M12, so divergence starts post-M12. Pass and fail share the M12 cash position. Flagged here so reader doesn't mistake it for an error.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2026-05-25T01:15:19Z</dcterms:created>
  <dcterms:modified xsi:type="dcterms:W3CDTF">2026-05-25T01:15:19Z</dcterms:modified>
</cp:coreProperties>
</file>