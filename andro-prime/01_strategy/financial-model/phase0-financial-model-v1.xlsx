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 Overview" sheetId="1" state="visible" r:id="rId3"/>
    <sheet name="Assumptions" sheetId="2" state="visible" r:id="rId4"/>
    <sheet name="6-Month P&amp;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<sst xmlns="http://schemas.openxmlformats.org/spreadsheetml/2006/main" count="214" uniqueCount="193">
  <si>
    <t xml:space="preserve">ANDRO PRIME — PHASE 0 FINANCIAL MODEL</t>
  </si>
  <si>
    <t xml:space="preserve">Premium Positioning | Organic-First | Zero External Funding</t>
  </si>
  <si>
    <t xml:space="preserve">Version 1.0 — April 2026</t>
  </si>
  <si>
    <t xml:space="preserve">MODEL IDENTITY</t>
  </si>
  <si>
    <t xml:space="preserve">Model name</t>
  </si>
  <si>
    <t xml:space="preserve">Phase 0 Financial Model v1.0</t>
  </si>
  <si>
    <t xml:space="preserve">Scope</t>
  </si>
  <si>
    <t xml:space="preserve">Non-regulated wellness tier only (kits + supplements)</t>
  </si>
  <si>
    <t xml:space="preserve">Excludes</t>
  </si>
  <si>
    <t xml:space="preserve">V5.0 TRT/clinical model — separate business</t>
  </si>
  <si>
    <t xml:space="preserve">Lab partner</t>
  </si>
  <si>
    <t xml:space="preserve">Vitall — finger-prick collection, white-label drop-ship</t>
  </si>
  <si>
    <t xml:space="preserve">Launch capital required</t>
  </si>
  <si>
    <t xml:space="preserve">£0 (all costs in per-kit COGS)</t>
  </si>
  <si>
    <t xml:space="preserve">Paid media budget</t>
  </si>
  <si>
    <t xml:space="preserve">£0 (organic + affiliate only)</t>
  </si>
  <si>
    <t xml:space="preserve">Affiliate model</t>
  </si>
  <si>
    <t xml:space="preserve">Flat £15/referral OR 15% commission (switchable)</t>
  </si>
  <si>
    <t xml:space="preserve">Planning stance</t>
  </si>
  <si>
    <t xml:space="preserve">Conservative — judge business against these numbers</t>
  </si>
  <si>
    <t xml:space="preserve">KEY OUTPUTS (from model)</t>
  </si>
  <si>
    <t xml:space="preserve">Monthly breakeven</t>
  </si>
  <si>
    <t xml:space="preserve">See Assumptions tab</t>
  </si>
  <si>
    <t xml:space="preserve">Month 1 net contribution</t>
  </si>
  <si>
    <t xml:space="preserve">See 6-Month P&amp;L tab</t>
  </si>
  <si>
    <t xml:space="preserve">6-month cumulative cash</t>
  </si>
  <si>
    <t xml:space="preserve">Supplement capital timing</t>
  </si>
  <si>
    <t xml:space="preserve">Self-funded from kit profits</t>
  </si>
  <si>
    <t xml:space="preserve">ASSUMPTIONS &amp; UNIT ECONOMICS</t>
  </si>
  <si>
    <t xml:space="preserve">All yellow cells are editable inputs — model recalculates automatically</t>
  </si>
  <si>
    <t xml:space="preserve">KIT UNIT ECONOMICS</t>
  </si>
  <si>
    <t xml:space="preserve">COGS (Vitall)</t>
  </si>
  <si>
    <t xml:space="preserve">Retail Price</t>
  </si>
  <si>
    <t xml:space="preserve">Gross Margin £</t>
  </si>
  <si>
    <t xml:space="preserve">Gross Margin %</t>
  </si>
  <si>
    <t xml:space="preserve">Kit 1 — Hormone Check</t>
  </si>
  <si>
    <t xml:space="preserve">Kit 2 — Energy &amp; Metabolism</t>
  </si>
  <si>
    <t xml:space="preserve">Kit 3 — Combo Test</t>
  </si>
  <si>
    <t xml:space="preserve">KIT PANELS (Vitall Finger-Prick)</t>
  </si>
  <si>
    <t xml:space="preserve">Kit</t>
  </si>
  <si>
    <t xml:space="preserve">Biomarkers</t>
  </si>
  <si>
    <t xml:space="preserve">Kit 1</t>
  </si>
  <si>
    <t xml:space="preserve">Free Testosterone, SHBG, Total Testosterone</t>
  </si>
  <si>
    <t xml:space="preserve">Kit 2</t>
  </si>
  <si>
    <t xml:space="preserve">Vitamin D, Vitamin B12, Ferritin (Iron), hs-CRP (Inflammation)</t>
  </si>
  <si>
    <t xml:space="preserve">Kit 3</t>
  </si>
  <si>
    <t xml:space="preserve">All Kit 1 + Kit 2 markers (6 total)</t>
  </si>
  <si>
    <t xml:space="preserve">SUPPLEMENT UNIT ECONOMICS (Est. — Pending Quotes)</t>
  </si>
  <si>
    <t xml:space="preserve">COGS (Est.)</t>
  </si>
  <si>
    <t xml:space="preserve">Sub Price /mo</t>
  </si>
  <si>
    <t xml:space="preserve">Daily Stack</t>
  </si>
  <si>
    <t xml:space="preserve">Joint &amp; Recovery Collagen</t>
  </si>
  <si>
    <t xml:space="preserve">Complete Stack (Bundle)</t>
  </si>
  <si>
    <t xml:space="preserve">OPERATING ASSUMPTIONS</t>
  </si>
  <si>
    <t xml:space="preserve">Assumption</t>
  </si>
  <si>
    <t xml:space="preserve">Value</t>
  </si>
  <si>
    <t xml:space="preserve">Notes</t>
  </si>
  <si>
    <t xml:space="preserve">Payment processing (Stripe)</t>
  </si>
  <si>
    <t xml:space="preserve">2.5% on all revenue</t>
  </si>
  <si>
    <t xml:space="preserve">Affiliate fee per referral (flat)</t>
  </si>
  <si>
    <t xml:space="preserve">£15 flat per referred kit sale</t>
  </si>
  <si>
    <t xml:space="preserve">Affiliate mix (% of kit sales)</t>
  </si>
  <si>
    <t xml:space="preserve">20% of kits via affiliates</t>
  </si>
  <si>
    <t xml:space="preserve">Kit-to-supplement conversion</t>
  </si>
  <si>
    <t xml:space="preserve">12% of Kit 2/3 buyers subscribe</t>
  </si>
  <si>
    <t xml:space="preserve">Supplement monthly churn</t>
  </si>
  <si>
    <t xml:space="preserve">3% monthly</t>
  </si>
  <si>
    <t xml:space="preserve">Founding member deposit</t>
  </si>
  <si>
    <t xml:space="preserve">£75 per deposit</t>
  </si>
  <si>
    <t xml:space="preserve">Low-T rate (Kit 1 + Kit 3 buyers)</t>
  </si>
  <si>
    <t xml:space="preserve">35% show T &lt; 12 nmol/L</t>
  </si>
  <si>
    <t xml:space="preserve">Deposit conversion (of low-T)</t>
  </si>
  <si>
    <t xml:space="preserve">50% of low-T results deposit</t>
  </si>
  <si>
    <t xml:space="preserve">MONTHLY OVERHEAD (Lean Launch)</t>
  </si>
  <si>
    <t xml:space="preserve">Cost Item</t>
  </si>
  <si>
    <t xml:space="preserve">Monthly £</t>
  </si>
  <si>
    <t xml:space="preserve">CRM / Email (free tier)</t>
  </si>
  <si>
    <t xml:space="preserve">Brevo/Mailchimp free until 500 contacts</t>
  </si>
  <si>
    <t xml:space="preserve">Website hosting</t>
  </si>
  <si>
    <t xml:space="preserve">Vercel free tier</t>
  </si>
  <si>
    <t xml:space="preserve">Domain + SSL</t>
  </si>
  <si>
    <t xml:space="preserve">~£60/year</t>
  </si>
  <si>
    <t xml:space="preserve">Phone / comms</t>
  </si>
  <si>
    <t xml:space="preserve">Business mobile</t>
  </si>
  <si>
    <t xml:space="preserve">Bookkeeping (self-managed initially)</t>
  </si>
  <si>
    <t xml:space="preserve">Keith manages; accountant added at £200/mo when volume justifies</t>
  </si>
  <si>
    <t xml:space="preserve">Design tools (Canva free)</t>
  </si>
  <si>
    <t xml:space="preserve">Free tier initially</t>
  </si>
  <si>
    <t xml:space="preserve">Insurance (deferred)</t>
  </si>
  <si>
    <t xml:space="preserve">Product liability sits with Vitall for kits; add at supplement launch</t>
  </si>
  <si>
    <t xml:space="preserve">Misc / contingency</t>
  </si>
  <si>
    <t xml:space="preserve">Returns, failed samples, postage</t>
  </si>
  <si>
    <t xml:space="preserve">FSA compliance (deferred)</t>
  </si>
  <si>
    <t xml:space="preserve">Not needed until supplements ship</t>
  </si>
  <si>
    <t xml:space="preserve">ICO fee</t>
  </si>
  <si>
    <t xml:space="preserve">£35/year</t>
  </si>
  <si>
    <t xml:space="preserve">TOTAL MONTHLY OVERHEAD</t>
  </si>
  <si>
    <t xml:space="preserve">SUPPLEMENT CAPITAL (Self-Funded from Kit Revenue)</t>
  </si>
  <si>
    <t xml:space="preserve">Item</t>
  </si>
  <si>
    <t xml:space="preserve">Amount</t>
  </si>
  <si>
    <t xml:space="preserve">OPTION A: Daily Stack Only (Phased)</t>
  </si>
  <si>
    <t xml:space="preserve">Daily Stack MOQ (500 units)</t>
  </si>
  <si>
    <t xml:space="preserve">First supplement to market</t>
  </si>
  <si>
    <t xml:space="preserve">Label + compliance (1 SKU)</t>
  </si>
  <si>
    <t xml:space="preserve">FSA-compliant, Ewa review</t>
  </si>
  <si>
    <t xml:space="preserve">Stability testing (1 SKU)</t>
  </si>
  <si>
    <t xml:space="preserve">Required for FSA</t>
  </si>
  <si>
    <t xml:space="preserve">Total Option A</t>
  </si>
  <si>
    <t xml:space="preserve">OPTION B: Both SKUs (Full Launch)</t>
  </si>
  <si>
    <t xml:space="preserve">Daily Stack MOQ</t>
  </si>
  <si>
    <t xml:space="preserve">Collagen MOQ (500 units)</t>
  </si>
  <si>
    <t xml:space="preserve">Labels + compliance (2 SKUs)</t>
  </si>
  <si>
    <t xml:space="preserve">Stability testing (2 SKUs)</t>
  </si>
  <si>
    <t xml:space="preserve">Total Option B</t>
  </si>
  <si>
    <t xml:space="preserve">BREAKEVEN ANALYSIS</t>
  </si>
  <si>
    <t xml:space="preserve">Average kit gross margin (before processing)</t>
  </si>
  <si>
    <t xml:space="preserve">Average kit retail price</t>
  </si>
  <si>
    <t xml:space="preserve">Direct sale net margin (after Stripe)</t>
  </si>
  <si>
    <t xml:space="preserve">Affiliate sale net margin (after Stripe + £15 fee)</t>
  </si>
  <si>
    <t xml:space="preserve">Blended net margin per kit (20% affiliate mix)</t>
  </si>
  <si>
    <t xml:space="preserve">This is your key number — profit per kit after all variable costs</t>
  </si>
  <si>
    <t xml:space="preserve">KITS PER MONTH TO BREAK EVEN</t>
  </si>
  <si>
    <t xml:space="preserve">Monthly overhead ÷ blended margin per kit</t>
  </si>
  <si>
    <t xml:space="preserve">KITS PER WEEK TO BREAK EVEN</t>
  </si>
  <si>
    <t xml:space="preserve">Margin of safety at 17 kits/month (planning case M1)</t>
  </si>
  <si>
    <t xml:space="preserve">Cash surplus above breakeven if Month 1 hits 17 kits</t>
  </si>
  <si>
    <t xml:space="preserve">Months to fund Daily Stack (Option A)</t>
  </si>
  <si>
    <t xml:space="preserve">At ~30 kits/month average (planning case avg)</t>
  </si>
  <si>
    <t xml:space="preserve">PER-KIT MARGIN DETAIL</t>
  </si>
  <si>
    <t xml:space="preserve">COGS</t>
  </si>
  <si>
    <t xml:space="preserve">Gross Margin</t>
  </si>
  <si>
    <t xml:space="preserve">Stripe (2.5%)</t>
  </si>
  <si>
    <t xml:space="preserve">Net Direct Margin</t>
  </si>
  <si>
    <t xml:space="preserve">Net Direct %</t>
  </si>
  <si>
    <t xml:space="preserve">Affiliate Fee (£15 flat)</t>
  </si>
  <si>
    <t xml:space="preserve">Net Affiliate Margin</t>
  </si>
  <si>
    <t xml:space="preserve">Net Affiliate %</t>
  </si>
  <si>
    <t xml:space="preserve">Blended Margin (20% aff)</t>
  </si>
  <si>
    <t xml:space="preserve">Blended %</t>
  </si>
  <si>
    <t xml:space="preserve">PHASE 0 — 6-MONTH P&amp;L</t>
  </si>
  <si>
    <t xml:space="preserve">Organic-First | Premium Pricing | Cash-Positive from Month 1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</si>
  <si>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</si>
  <si>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</si>
  <si>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</si>
  <si>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</si>
  <si>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</si>
  <si>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</si>
  <si>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6-Mo Total</t>
  </si>
  <si>
    <t xml:space="preserve">KIT SALES VOLUME</t>
  </si>
  <si>
    <t xml:space="preserve">Total Kits Sold</t>
  </si>
  <si>
    <t xml:space="preserve">Cumulative Kits</t>
  </si>
  <si>
    <t xml:space="preserve">KIT REVENUE</t>
  </si>
  <si>
    <t xml:space="preserve">Total Kit Revenue</t>
  </si>
  <si>
    <t xml:space="preserve">KIT COGS</t>
  </si>
  <si>
    <t xml:space="preserve">Kit 1 — Hormone Check COGS</t>
  </si>
  <si>
    <t xml:space="preserve">Kit 2 — Energy &amp; Metabolism COGS</t>
  </si>
  <si>
    <t xml:space="preserve">Kit 3 — Combo Test COGS</t>
  </si>
  <si>
    <t xml:space="preserve">Total Kit COGS</t>
  </si>
  <si>
    <t xml:space="preserve">Kit Gross Profit</t>
  </si>
  <si>
    <t xml:space="preserve">Kit Gross Margin %</t>
  </si>
  <si>
    <t xml:space="preserve">SUPPLEMENT SUBSCRIBERS</t>
  </si>
  <si>
    <t xml:space="preserve">New subs (12% of Kit 2+3 buyers)</t>
  </si>
  <si>
    <t xml:space="preserve">Churned</t>
  </si>
  <si>
    <t xml:space="preserve">Active Subscribers (EOM)</t>
  </si>
  <si>
    <t xml:space="preserve">SUPPLEMENT FINANCIALS</t>
  </si>
  <si>
    <t xml:space="preserve">Supplement Revenue</t>
  </si>
  <si>
    <t xml:space="preserve">Supplement COGS</t>
  </si>
  <si>
    <t xml:space="preserve">Supplement Gross Profit</t>
  </si>
  <si>
    <t xml:space="preserve">FOUNDING MEMBER DEPOSITS</t>
  </si>
  <si>
    <t xml:space="preserve">T-kits sold (Kit 1 + Kit 3)</t>
  </si>
  <si>
    <t xml:space="preserve">Low-T results (35%)</t>
  </si>
  <si>
    <t xml:space="preserve">Deposits secured (50%)</t>
  </si>
  <si>
    <t xml:space="preserve">Deposit Revenue</t>
  </si>
  <si>
    <t xml:space="preserve">REVENUE SUMMARY</t>
  </si>
  <si>
    <t xml:space="preserve">Kit Revenue</t>
  </si>
  <si>
    <t xml:space="preserve">TOTAL REVENUE</t>
  </si>
  <si>
    <t xml:space="preserve">TOTAL COGS</t>
  </si>
  <si>
    <t xml:space="preserve">Kit COGS</t>
  </si>
  <si>
    <t xml:space="preserve">GROSS PROFIT</t>
  </si>
  <si>
    <t xml:space="preserve">OPERATING EXPENSES</t>
  </si>
  <si>
    <t xml:space="preserve">Fixed Overhead</t>
  </si>
  <si>
    <t xml:space="preserve">Payment Processing (Stripe 2.5%)</t>
  </si>
  <si>
    <t xml:space="preserve">Affiliate Fees (£15 × affiliate kit sales)</t>
  </si>
  <si>
    <t xml:space="preserve">TOTAL OPEX</t>
  </si>
  <si>
    <t xml:space="preserve">NET MONTHLY CONTRIBUTION</t>
  </si>
  <si>
    <t xml:space="preserve">Net Margin %</t>
  </si>
  <si>
    <t xml:space="preserve">CUMULATIVE CASH</t>
  </si>
  <si>
    <t xml:space="preserve">Cumulative Cash Position</t>
  </si>
  <si>
    <t xml:space="preserve">KEY METRICS</t>
  </si>
  <si>
    <t xml:space="preserve">Blended Revenue per Kit</t>
  </si>
  <si>
    <t xml:space="preserve">Supplement MRR (EOM)</t>
  </si>
  <si>
    <t xml:space="preserve">Founding Member Deposits (cum.)</t>
  </si>
  <si>
    <t xml:space="preserve">Margin of Safety (Net - Breakeven)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</si>
</sst>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.00"/>
    <numFmt numFmtId="166" formatCode="\£#,##0"/>
    <numFmt numFmtId="167" formatCode="0.0%"/>
    <numFmt numFmtId="168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1"/>
      <color rgb="FF44444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CC0000"/>
      <name val="Arial"/>
      <family val="0"/>
      <charset val="1"/>
    </font>
    <font>
      <b val="true"/>
      <sz val="11"/>
      <color rgb="FFCC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D3748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70AD47"/>
      <rgbColor rgb="FF003366"/>
      <rgbColor rgb="FF339966"/>
      <rgbColor rgb="FF003300"/>
      <rgbColor rgb="FF2D3748"/>
      <rgbColor rgb="FF993300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333"/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5"/>
    <col collapsed="false" customWidth="true" hidden="false" outlineLevel="0" max="3" min="3" style="0" width="3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s">
        <v>5</v>
      </c>
    </row>
    <row r="7" customFormat="false" ht="15" hidden="false" customHeight="false" outlineLevel="0" collapsed="false">
      <c r="A7" s="5" t="s">
        <v>6</v>
      </c>
      <c r="B7" s="6" t="s">
        <v>7</v>
      </c>
    </row>
    <row r="8" customFormat="false" ht="15" hidden="false" customHeight="false" outlineLevel="0" collapsed="false">
      <c r="A8" s="5" t="s">
        <v>8</v>
      </c>
      <c r="B8" s="6" t="s">
        <v>9</v>
      </c>
    </row>
    <row r="9" customFormat="false" ht="15" hidden="false" customHeight="false" outlineLevel="0" collapsed="false">
      <c r="A9" s="5" t="s">
        <v>10</v>
      </c>
      <c r="B9" s="6" t="s">
        <v>11</v>
      </c>
    </row>
    <row r="10" customFormat="false" ht="15" hidden="false" customHeight="false" outlineLevel="0" collapsed="false">
      <c r="A10" s="5" t="s">
        <v>12</v>
      </c>
      <c r="B10" s="6" t="s">
        <v>13</v>
      </c>
    </row>
    <row r="11" customFormat="false" ht="15" hidden="false" customHeight="false" outlineLevel="0" collapsed="false">
      <c r="A11" s="5" t="s">
        <v>14</v>
      </c>
      <c r="B11" s="6" t="s">
        <v>15</v>
      </c>
    </row>
    <row r="12" customFormat="false" ht="15" hidden="false" customHeight="false" outlineLevel="0" collapsed="false">
      <c r="A12" s="5" t="s">
        <v>16</v>
      </c>
      <c r="B12" s="6" t="s">
        <v>17</v>
      </c>
    </row>
    <row r="13" customFormat="false" ht="15" hidden="false" customHeight="false" outlineLevel="0" collapsed="false">
      <c r="A13" s="5" t="s">
        <v>18</v>
      </c>
      <c r="B13" s="6" t="s">
        <v>19</v>
      </c>
    </row>
    <row r="15" customFormat="false" ht="15" hidden="false" customHeight="false" outlineLevel="0" collapsed="false">
      <c r="A15" s="4" t="s">
        <v>20</v>
      </c>
    </row>
    <row r="16" customFormat="false" ht="15" hidden="false" customHeight="false" outlineLevel="0" collapsed="false">
      <c r="A16" s="5" t="s">
        <v>21</v>
      </c>
      <c r="B16" s="7" t="s">
        <v>22</v>
      </c>
    </row>
    <row r="17" customFormat="false" ht="15" hidden="false" customHeight="false" outlineLevel="0" collapsed="false">
      <c r="A17" s="5" t="s">
        <v>23</v>
      </c>
      <c r="B17" s="7" t="s">
        <v>24</v>
      </c>
    </row>
    <row r="18" customFormat="false" ht="15" hidden="false" customHeight="false" outlineLevel="0" collapsed="false">
      <c r="A18" s="5" t="s">
        <v>25</v>
      </c>
      <c r="B18" s="7" t="s">
        <v>24</v>
      </c>
    </row>
    <row r="19" customFormat="false" ht="15" hidden="false" customHeight="false" outlineLevel="0" collapsed="false">
      <c r="A19" s="5" t="s">
        <v>26</v>
      </c>
      <c r="B19" s="7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E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8"/>
    <col collapsed="false" customWidth="true" hidden="false" outlineLevel="0" max="6" min="6" style="0" width="35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3" t="s">
        <v>29</v>
      </c>
    </row>
    <row r="4" customFormat="false" ht="15" hidden="false" customHeight="false" outlineLevel="0" collapsed="false">
      <c r="A4" s="4" t="s">
        <v>30</v>
      </c>
    </row>
    <row r="5" customFormat="false" ht="15" hidden="false" customHeight="false" outlineLevel="0" collapsed="false">
      <c r="A5" s="8"/>
      <c r="B5" s="8" t="s">
        <v>31</v>
      </c>
      <c r="C5" s="8" t="s">
        <v>32</v>
      </c>
      <c r="D5" s="8" t="s">
        <v>33</v>
      </c>
      <c r="E5" s="8" t="s">
        <v>34</v>
      </c>
    </row>
    <row r="6" customFormat="false" ht="15" hidden="false" customHeight="false" outlineLevel="0" collapsed="false">
      <c r="A6" s="9" t="s">
        <v>35</v>
      </c>
      <c r="B6" s="10" t="n">
        <v>58.5</v>
      </c>
      <c r="C6" s="11" t="n">
        <v>99</v>
      </c>
      <c r="D6" s="12" t="n">
        <f aca="false">C6-B6</f>
        <v>40.5</v>
      </c>
      <c r="E6" s="13" t="n">
        <f aca="false">D6/C6</f>
        <v>0.409090909090909</v>
      </c>
    </row>
    <row r="7" customFormat="false" ht="15" hidden="false" customHeight="false" outlineLevel="0" collapsed="false">
      <c r="A7" s="9" t="s">
        <v>36</v>
      </c>
      <c r="B7" s="10" t="n">
        <v>63</v>
      </c>
      <c r="C7" s="11" t="n">
        <v>119</v>
      </c>
      <c r="D7" s="12" t="n">
        <f aca="false">C7-B7</f>
        <v>56</v>
      </c>
      <c r="E7" s="13" t="n">
        <f aca="false">D7/C7</f>
        <v>0.470588235294118</v>
      </c>
    </row>
    <row r="8" customFormat="false" ht="15" hidden="false" customHeight="false" outlineLevel="0" collapsed="false">
      <c r="A8" s="9" t="s">
        <v>37</v>
      </c>
      <c r="B8" s="10" t="n">
        <v>98</v>
      </c>
      <c r="C8" s="11" t="n">
        <v>179</v>
      </c>
      <c r="D8" s="12" t="n">
        <f aca="false">C8-B8</f>
        <v>81</v>
      </c>
      <c r="E8" s="13" t="n">
        <f aca="false">D8/C8</f>
        <v>0.452513966480447</v>
      </c>
    </row>
    <row r="10" customFormat="false" ht="15" hidden="false" customHeight="false" outlineLevel="0" collapsed="false">
      <c r="A10" s="4" t="s">
        <v>38</v>
      </c>
    </row>
    <row r="11" customFormat="false" ht="15" hidden="false" customHeight="false" outlineLevel="0" collapsed="false">
      <c r="A11" s="8" t="s">
        <v>39</v>
      </c>
      <c r="B11" s="8" t="s">
        <v>40</v>
      </c>
    </row>
    <row r="12" customFormat="false" ht="15" hidden="false" customHeight="false" outlineLevel="0" collapsed="false">
      <c r="A12" s="9" t="s">
        <v>41</v>
      </c>
      <c r="B12" s="14" t="s">
        <v>42</v>
      </c>
    </row>
    <row r="13" customFormat="false" ht="15" hidden="false" customHeight="false" outlineLevel="0" collapsed="false">
      <c r="A13" s="9" t="s">
        <v>43</v>
      </c>
      <c r="B13" s="14" t="s">
        <v>44</v>
      </c>
    </row>
    <row r="14" customFormat="false" ht="15" hidden="false" customHeight="false" outlineLevel="0" collapsed="false">
      <c r="A14" s="9" t="s">
        <v>45</v>
      </c>
      <c r="B14" s="14" t="s">
        <v>46</v>
      </c>
    </row>
    <row r="16" customFormat="false" ht="15" hidden="false" customHeight="false" outlineLevel="0" collapsed="false">
      <c r="A16" s="4" t="s">
        <v>47</v>
      </c>
    </row>
    <row r="17" customFormat="false" ht="15" hidden="false" customHeight="false" outlineLevel="0" collapsed="false">
      <c r="A17" s="8"/>
      <c r="B17" s="8" t="s">
        <v>48</v>
      </c>
      <c r="C17" s="8" t="s">
        <v>49</v>
      </c>
      <c r="D17" s="8" t="s">
        <v>33</v>
      </c>
      <c r="E17" s="8" t="s">
        <v>34</v>
      </c>
    </row>
    <row r="18" customFormat="false" ht="15" hidden="false" customHeight="false" outlineLevel="0" collapsed="false">
      <c r="A18" s="9" t="s">
        <v>50</v>
      </c>
      <c r="B18" s="10" t="n">
        <v>15</v>
      </c>
      <c r="C18" s="15" t="n">
        <v>34.95</v>
      </c>
      <c r="D18" s="12" t="n">
        <f aca="false">C18-B18</f>
        <v>19.95</v>
      </c>
      <c r="E18" s="13" t="n">
        <f aca="false">D18/C18</f>
        <v>0.570815450643777</v>
      </c>
    </row>
    <row r="19" customFormat="false" ht="15" hidden="false" customHeight="false" outlineLevel="0" collapsed="false">
      <c r="A19" s="9" t="s">
        <v>51</v>
      </c>
      <c r="B19" s="10" t="n">
        <v>13</v>
      </c>
      <c r="C19" s="15" t="n">
        <v>29.95</v>
      </c>
      <c r="D19" s="12" t="n">
        <f aca="false">C19-B19</f>
        <v>16.95</v>
      </c>
      <c r="E19" s="13" t="n">
        <f aca="false">D19/C19</f>
        <v>0.565943238731219</v>
      </c>
    </row>
    <row r="20" customFormat="false" ht="15" hidden="false" customHeight="false" outlineLevel="0" collapsed="false">
      <c r="A20" s="9" t="s">
        <v>52</v>
      </c>
      <c r="B20" s="12" t="n">
        <f aca="false">B18+B19</f>
        <v>28</v>
      </c>
      <c r="C20" s="15" t="n">
        <v>54.95</v>
      </c>
      <c r="D20" s="12" t="n">
        <f aca="false">C20-B20</f>
        <v>26.95</v>
      </c>
      <c r="E20" s="13" t="n">
        <f aca="false">D20/C20</f>
        <v>0.490445859872611</v>
      </c>
    </row>
    <row r="22" customFormat="false" ht="15" hidden="false" customHeight="false" outlineLevel="0" collapsed="false">
      <c r="A22" s="4" t="s">
        <v>53</v>
      </c>
    </row>
    <row r="23" customFormat="false" ht="15" hidden="false" customHeight="false" outlineLevel="0" collapsed="false">
      <c r="A23" s="8" t="s">
        <v>54</v>
      </c>
      <c r="B23" s="8" t="s">
        <v>55</v>
      </c>
      <c r="C23" s="8" t="s">
        <v>56</v>
      </c>
    </row>
    <row r="24" customFormat="false" ht="15" hidden="false" customHeight="false" outlineLevel="0" collapsed="false">
      <c r="A24" s="9" t="s">
        <v>57</v>
      </c>
      <c r="B24" s="16" t="n">
        <v>0.025</v>
      </c>
      <c r="C24" s="14" t="s">
        <v>58</v>
      </c>
    </row>
    <row r="25" customFormat="false" ht="15" hidden="false" customHeight="false" outlineLevel="0" collapsed="false">
      <c r="A25" s="9" t="s">
        <v>59</v>
      </c>
      <c r="B25" s="11" t="n">
        <v>15</v>
      </c>
      <c r="C25" s="14" t="s">
        <v>60</v>
      </c>
    </row>
    <row r="26" customFormat="false" ht="15" hidden="false" customHeight="false" outlineLevel="0" collapsed="false">
      <c r="A26" s="9" t="s">
        <v>61</v>
      </c>
      <c r="B26" s="16" t="n">
        <v>0.2</v>
      </c>
      <c r="C26" s="14" t="s">
        <v>62</v>
      </c>
    </row>
    <row r="27" customFormat="false" ht="15" hidden="false" customHeight="false" outlineLevel="0" collapsed="false">
      <c r="A27" s="9" t="s">
        <v>63</v>
      </c>
      <c r="B27" s="16" t="n">
        <v>0.12</v>
      </c>
      <c r="C27" s="14" t="s">
        <v>64</v>
      </c>
    </row>
    <row r="28" customFormat="false" ht="15" hidden="false" customHeight="false" outlineLevel="0" collapsed="false">
      <c r="A28" s="9" t="s">
        <v>65</v>
      </c>
      <c r="B28" s="16" t="n">
        <v>0.03</v>
      </c>
      <c r="C28" s="14" t="s">
        <v>66</v>
      </c>
    </row>
    <row r="29" customFormat="false" ht="15" hidden="false" customHeight="false" outlineLevel="0" collapsed="false">
      <c r="A29" s="9" t="s">
        <v>67</v>
      </c>
      <c r="B29" s="11" t="n">
        <v>75</v>
      </c>
      <c r="C29" s="14" t="s">
        <v>68</v>
      </c>
    </row>
    <row r="30" customFormat="false" ht="15" hidden="false" customHeight="false" outlineLevel="0" collapsed="false">
      <c r="A30" s="9" t="s">
        <v>69</v>
      </c>
      <c r="B30" s="16" t="n">
        <v>0.35</v>
      </c>
      <c r="C30" s="14" t="s">
        <v>70</v>
      </c>
    </row>
    <row r="31" customFormat="false" ht="15" hidden="false" customHeight="false" outlineLevel="0" collapsed="false">
      <c r="A31" s="9" t="s">
        <v>71</v>
      </c>
      <c r="B31" s="16" t="n">
        <v>0.5</v>
      </c>
      <c r="C31" s="14" t="s">
        <v>72</v>
      </c>
    </row>
    <row r="33" customFormat="false" ht="15" hidden="false" customHeight="false" outlineLevel="0" collapsed="false">
      <c r="A33" s="4" t="s">
        <v>73</v>
      </c>
    </row>
    <row r="34" customFormat="false" ht="15" hidden="false" customHeight="false" outlineLevel="0" collapsed="false">
      <c r="A34" s="8" t="s">
        <v>74</v>
      </c>
      <c r="B34" s="8" t="s">
        <v>75</v>
      </c>
      <c r="C34" s="8" t="s">
        <v>56</v>
      </c>
    </row>
    <row r="35" customFormat="false" ht="15" hidden="false" customHeight="false" outlineLevel="0" collapsed="false">
      <c r="A35" s="9" t="s">
        <v>76</v>
      </c>
      <c r="B35" s="11" t="n">
        <v>0</v>
      </c>
      <c r="C35" s="14" t="s">
        <v>77</v>
      </c>
    </row>
    <row r="36" customFormat="false" ht="15" hidden="false" customHeight="false" outlineLevel="0" collapsed="false">
      <c r="A36" s="9" t="s">
        <v>78</v>
      </c>
      <c r="B36" s="11" t="n">
        <v>0</v>
      </c>
      <c r="C36" s="14" t="s">
        <v>79</v>
      </c>
    </row>
    <row r="37" customFormat="false" ht="15" hidden="false" customHeight="false" outlineLevel="0" collapsed="false">
      <c r="A37" s="9" t="s">
        <v>80</v>
      </c>
      <c r="B37" s="11" t="n">
        <v>5</v>
      </c>
      <c r="C37" s="14" t="s">
        <v>81</v>
      </c>
    </row>
    <row r="38" customFormat="false" ht="15" hidden="false" customHeight="false" outlineLevel="0" collapsed="false">
      <c r="A38" s="9" t="s">
        <v>82</v>
      </c>
      <c r="B38" s="11" t="n">
        <v>30</v>
      </c>
      <c r="C38" s="14" t="s">
        <v>83</v>
      </c>
    </row>
    <row r="39" customFormat="false" ht="15" hidden="false" customHeight="false" outlineLevel="0" collapsed="false">
      <c r="A39" s="9" t="s">
        <v>84</v>
      </c>
      <c r="B39" s="11" t="n">
        <v>0</v>
      </c>
      <c r="C39" s="14" t="s">
        <v>85</v>
      </c>
    </row>
    <row r="40" customFormat="false" ht="15" hidden="false" customHeight="false" outlineLevel="0" collapsed="false">
      <c r="A40" s="9" t="s">
        <v>86</v>
      </c>
      <c r="B40" s="11" t="n">
        <v>0</v>
      </c>
      <c r="C40" s="14" t="s">
        <v>87</v>
      </c>
    </row>
    <row r="41" customFormat="false" ht="15" hidden="false" customHeight="false" outlineLevel="0" collapsed="false">
      <c r="A41" s="9" t="s">
        <v>88</v>
      </c>
      <c r="B41" s="11" t="n">
        <v>0</v>
      </c>
      <c r="C41" s="14" t="s">
        <v>89</v>
      </c>
    </row>
    <row r="42" customFormat="false" ht="15" hidden="false" customHeight="false" outlineLevel="0" collapsed="false">
      <c r="A42" s="9" t="s">
        <v>90</v>
      </c>
      <c r="B42" s="11" t="n">
        <v>50</v>
      </c>
      <c r="C42" s="14" t="s">
        <v>91</v>
      </c>
    </row>
    <row r="43" customFormat="false" ht="15" hidden="false" customHeight="false" outlineLevel="0" collapsed="false">
      <c r="A43" s="9" t="s">
        <v>92</v>
      </c>
      <c r="B43" s="11" t="n">
        <v>0</v>
      </c>
      <c r="C43" s="14" t="s">
        <v>93</v>
      </c>
    </row>
    <row r="44" customFormat="false" ht="15" hidden="false" customHeight="false" outlineLevel="0" collapsed="false">
      <c r="A44" s="9" t="s">
        <v>94</v>
      </c>
      <c r="B44" s="11" t="n">
        <v>3</v>
      </c>
      <c r="C44" s="14" t="s">
        <v>95</v>
      </c>
    </row>
    <row r="46" customFormat="false" ht="15" hidden="false" customHeight="false" outlineLevel="0" collapsed="false">
      <c r="A46" s="5" t="s">
        <v>96</v>
      </c>
      <c r="B46" s="17" t="n">
        <f aca="false">SUM(B35:B44)</f>
        <v>88</v>
      </c>
      <c r="C46" s="9"/>
    </row>
    <row r="48" customFormat="false" ht="15" hidden="false" customHeight="false" outlineLevel="0" collapsed="false">
      <c r="A48" s="4" t="s">
        <v>97</v>
      </c>
    </row>
    <row r="49" customFormat="false" ht="15" hidden="false" customHeight="false" outlineLevel="0" collapsed="false">
      <c r="A49" s="8" t="s">
        <v>98</v>
      </c>
      <c r="B49" s="8" t="s">
        <v>99</v>
      </c>
      <c r="C49" s="8" t="s">
        <v>56</v>
      </c>
    </row>
    <row r="50" customFormat="false" ht="15" hidden="false" customHeight="false" outlineLevel="0" collapsed="false">
      <c r="A50" s="5" t="s">
        <v>100</v>
      </c>
      <c r="B50" s="9"/>
      <c r="C50" s="9"/>
    </row>
    <row r="51" customFormat="false" ht="15" hidden="false" customHeight="false" outlineLevel="0" collapsed="false">
      <c r="A51" s="9" t="s">
        <v>101</v>
      </c>
      <c r="B51" s="11" t="n">
        <v>4000</v>
      </c>
      <c r="C51" s="14" t="s">
        <v>102</v>
      </c>
    </row>
    <row r="52" customFormat="false" ht="15" hidden="false" customHeight="false" outlineLevel="0" collapsed="false">
      <c r="A52" s="9" t="s">
        <v>103</v>
      </c>
      <c r="B52" s="11" t="n">
        <v>1200</v>
      </c>
      <c r="C52" s="14" t="s">
        <v>104</v>
      </c>
    </row>
    <row r="53" customFormat="false" ht="15" hidden="false" customHeight="false" outlineLevel="0" collapsed="false">
      <c r="A53" s="9" t="s">
        <v>105</v>
      </c>
      <c r="B53" s="11" t="n">
        <v>750</v>
      </c>
      <c r="C53" s="14" t="s">
        <v>106</v>
      </c>
    </row>
    <row r="54" customFormat="false" ht="15" hidden="false" customHeight="false" outlineLevel="0" collapsed="false">
      <c r="A54" s="5" t="s">
        <v>107</v>
      </c>
      <c r="B54" s="17" t="n">
        <f aca="false">SUM(B51:B53)</f>
        <v>5950</v>
      </c>
      <c r="C54" s="9"/>
    </row>
    <row r="55" customFormat="false" ht="15" hidden="false" customHeight="false" outlineLevel="0" collapsed="false">
      <c r="A55" s="9"/>
      <c r="B55" s="9"/>
      <c r="C55" s="9"/>
    </row>
    <row r="56" customFormat="false" ht="15" hidden="false" customHeight="false" outlineLevel="0" collapsed="false">
      <c r="A56" s="5" t="s">
        <v>108</v>
      </c>
      <c r="B56" s="9"/>
      <c r="C56" s="9"/>
    </row>
    <row r="57" customFormat="false" ht="15" hidden="false" customHeight="false" outlineLevel="0" collapsed="false">
      <c r="A57" s="9" t="s">
        <v>109</v>
      </c>
      <c r="B57" s="11" t="n">
        <v>4000</v>
      </c>
      <c r="C57" s="14"/>
    </row>
    <row r="58" customFormat="false" ht="15" hidden="false" customHeight="false" outlineLevel="0" collapsed="false">
      <c r="A58" s="9" t="s">
        <v>110</v>
      </c>
      <c r="B58" s="11" t="n">
        <v>1500</v>
      </c>
      <c r="C58" s="14"/>
    </row>
    <row r="59" customFormat="false" ht="15" hidden="false" customHeight="false" outlineLevel="0" collapsed="false">
      <c r="A59" s="9" t="s">
        <v>111</v>
      </c>
      <c r="B59" s="11" t="n">
        <v>2000</v>
      </c>
      <c r="C59" s="14"/>
    </row>
    <row r="60" customFormat="false" ht="15" hidden="false" customHeight="false" outlineLevel="0" collapsed="false">
      <c r="A60" s="9" t="s">
        <v>112</v>
      </c>
      <c r="B60" s="11" t="n">
        <v>1500</v>
      </c>
      <c r="C60" s="14"/>
    </row>
    <row r="61" customFormat="false" ht="15" hidden="false" customHeight="false" outlineLevel="0" collapsed="false">
      <c r="A61" s="5" t="s">
        <v>113</v>
      </c>
      <c r="B61" s="17" t="n">
        <f aca="false">SUM(B57:B60)</f>
        <v>9000</v>
      </c>
      <c r="C61" s="9"/>
    </row>
    <row r="63" customFormat="false" ht="15" hidden="false" customHeight="false" outlineLevel="0" collapsed="false">
      <c r="A63" s="4" t="s">
        <v>114</v>
      </c>
    </row>
    <row r="64" customFormat="false" ht="15" hidden="false" customHeight="false" outlineLevel="0" collapsed="false">
      <c r="A64" s="9" t="s">
        <v>115</v>
      </c>
      <c r="B64" s="18" t="n">
        <f aca="false">(D6+D7+D8)/3</f>
        <v>59.1666666666667</v>
      </c>
      <c r="C64" s="9"/>
    </row>
    <row r="65" customFormat="false" ht="15" hidden="false" customHeight="false" outlineLevel="0" collapsed="false">
      <c r="A65" s="9" t="s">
        <v>116</v>
      </c>
      <c r="B65" s="18" t="n">
        <f aca="false">(C6+C7+C8)/3</f>
        <v>132.333333333333</v>
      </c>
      <c r="C65" s="9"/>
    </row>
    <row r="66" customFormat="false" ht="15" hidden="false" customHeight="false" outlineLevel="0" collapsed="false">
      <c r="A66" s="9" t="s">
        <v>117</v>
      </c>
      <c r="B66" s="18" t="n">
        <f aca="false">B64-B65*B24</f>
        <v>55.8583333333333</v>
      </c>
      <c r="C66" s="9"/>
    </row>
    <row r="67" customFormat="false" ht="15" hidden="false" customHeight="false" outlineLevel="0" collapsed="false">
      <c r="A67" s="9" t="s">
        <v>118</v>
      </c>
      <c r="B67" s="18" t="n">
        <f aca="false">B64-B65*B24-B25</f>
        <v>40.8583333333333</v>
      </c>
      <c r="C67" s="9"/>
    </row>
    <row r="68" customFormat="false" ht="15" hidden="false" customHeight="false" outlineLevel="0" collapsed="false">
      <c r="A68" s="9" t="s">
        <v>119</v>
      </c>
      <c r="B68" s="18" t="n">
        <f aca="false">(1-B26)*B66+B26*B67</f>
        <v>52.8583333333333</v>
      </c>
      <c r="C68" s="14" t="s">
        <v>120</v>
      </c>
    </row>
    <row r="70" customFormat="false" ht="15" hidden="false" customHeight="false" outlineLevel="0" collapsed="false">
      <c r="A70" s="19" t="s">
        <v>121</v>
      </c>
      <c r="B70" s="20" t="n">
        <f aca="false">ROUNDUP(B46/B68,0)</f>
        <v>2</v>
      </c>
      <c r="C70" s="14" t="s">
        <v>122</v>
      </c>
    </row>
    <row r="71" customFormat="false" ht="15" hidden="false" customHeight="false" outlineLevel="0" collapsed="false">
      <c r="A71" s="19" t="s">
        <v>123</v>
      </c>
      <c r="B71" s="20" t="n">
        <f aca="false">ROUNDUP(B70/4.33,0)</f>
        <v>1</v>
      </c>
      <c r="C71" s="9"/>
    </row>
    <row r="73" customFormat="false" ht="15" hidden="false" customHeight="false" outlineLevel="0" collapsed="false">
      <c r="A73" s="9" t="s">
        <v>124</v>
      </c>
      <c r="B73" s="21" t="n">
        <f aca="false">17*B68-B46</f>
        <v>810.591666666667</v>
      </c>
      <c r="C73" s="14" t="s">
        <v>125</v>
      </c>
    </row>
    <row r="75" customFormat="false" ht="15" hidden="false" customHeight="false" outlineLevel="0" collapsed="false">
      <c r="A75" s="5" t="s">
        <v>126</v>
      </c>
      <c r="B75" s="22" t="n">
        <f aca="false">ROUNDUP(B54/(30*B68-B46),0)</f>
        <v>4</v>
      </c>
      <c r="C75" s="14" t="s">
        <v>127</v>
      </c>
    </row>
    <row r="77" customFormat="false" ht="15" hidden="false" customHeight="false" outlineLevel="0" collapsed="false">
      <c r="A77" s="4" t="s">
        <v>128</v>
      </c>
    </row>
    <row r="78" customFormat="false" ht="15" hidden="false" customHeight="false" outlineLevel="0" collapsed="false">
      <c r="A78" s="8"/>
      <c r="B78" s="8" t="s">
        <v>41</v>
      </c>
      <c r="C78" s="8" t="s">
        <v>43</v>
      </c>
      <c r="D78" s="8" t="s">
        <v>45</v>
      </c>
    </row>
    <row r="79" customFormat="false" ht="15" hidden="false" customHeight="false" outlineLevel="0" collapsed="false">
      <c r="A79" s="9" t="s">
        <v>32</v>
      </c>
      <c r="B79" s="23" t="n">
        <f aca="false">C6</f>
        <v>99</v>
      </c>
      <c r="C79" s="23" t="n">
        <f aca="false">C7</f>
        <v>119</v>
      </c>
      <c r="D79" s="23" t="n">
        <f aca="false">C8</f>
        <v>179</v>
      </c>
    </row>
    <row r="80" customFormat="false" ht="15" hidden="false" customHeight="false" outlineLevel="0" collapsed="false">
      <c r="A80" s="9" t="s">
        <v>129</v>
      </c>
      <c r="B80" s="23" t="n">
        <f aca="false">B6</f>
        <v>58.5</v>
      </c>
      <c r="C80" s="23" t="n">
        <f aca="false">B7</f>
        <v>63</v>
      </c>
      <c r="D80" s="23" t="n">
        <f aca="false">B8</f>
        <v>98</v>
      </c>
    </row>
    <row r="81" customFormat="false" ht="15" hidden="false" customHeight="false" outlineLevel="0" collapsed="false">
      <c r="A81" s="5" t="s">
        <v>130</v>
      </c>
      <c r="B81" s="18" t="n">
        <f aca="false">B79-B80</f>
        <v>40.5</v>
      </c>
      <c r="C81" s="18" t="n">
        <f aca="false">C79-C80</f>
        <v>56</v>
      </c>
      <c r="D81" s="18" t="n">
        <f aca="false">D79-D80</f>
        <v>81</v>
      </c>
    </row>
    <row r="82" customFormat="false" ht="15" hidden="false" customHeight="false" outlineLevel="0" collapsed="false">
      <c r="A82" s="9" t="s">
        <v>34</v>
      </c>
      <c r="B82" s="13" t="n">
        <f aca="false">B81/B79</f>
        <v>0.409090909090909</v>
      </c>
      <c r="C82" s="13" t="n">
        <f aca="false">C81/C79</f>
        <v>0.470588235294118</v>
      </c>
      <c r="D82" s="13" t="n">
        <f aca="false">D81/D79</f>
        <v>0.452513966480447</v>
      </c>
    </row>
    <row r="83" customFormat="false" ht="15" hidden="false" customHeight="false" outlineLevel="0" collapsed="false">
      <c r="A83" s="9" t="s">
        <v>131</v>
      </c>
      <c r="B83" s="13" t="n">
        <f aca="false">B79*$B$24</f>
        <v>2.475</v>
      </c>
      <c r="C83" s="13" t="n">
        <f aca="false">C79*$B$24</f>
        <v>2.975</v>
      </c>
      <c r="D83" s="13" t="n">
        <f aca="false">D79*$B$24</f>
        <v>4.475</v>
      </c>
    </row>
    <row r="84" customFormat="false" ht="15" hidden="false" customHeight="false" outlineLevel="0" collapsed="false">
      <c r="A84" s="5" t="s">
        <v>132</v>
      </c>
      <c r="B84" s="18" t="n">
        <f aca="false">B81-B83</f>
        <v>38.025</v>
      </c>
      <c r="C84" s="18" t="n">
        <f aca="false">C81-C83</f>
        <v>53.025</v>
      </c>
      <c r="D84" s="18" t="n">
        <f aca="false">D81-D83</f>
        <v>76.525</v>
      </c>
    </row>
    <row r="85" customFormat="false" ht="15" hidden="false" customHeight="false" outlineLevel="0" collapsed="false">
      <c r="A85" s="9" t="s">
        <v>133</v>
      </c>
      <c r="B85" s="13" t="n">
        <f aca="false">B84/B79</f>
        <v>0.384090909090909</v>
      </c>
      <c r="C85" s="13" t="n">
        <f aca="false">C84/C79</f>
        <v>0.445588235294118</v>
      </c>
      <c r="D85" s="13" t="n">
        <f aca="false">D84/D79</f>
        <v>0.427513966480447</v>
      </c>
    </row>
    <row r="86" customFormat="false" ht="15" hidden="false" customHeight="false" outlineLevel="0" collapsed="false">
      <c r="A86" s="9"/>
      <c r="B86" s="9"/>
      <c r="C86" s="9"/>
      <c r="D86" s="9"/>
    </row>
    <row r="87" customFormat="false" ht="15" hidden="false" customHeight="false" outlineLevel="0" collapsed="false">
      <c r="A87" s="9" t="s">
        <v>134</v>
      </c>
      <c r="B87" s="12" t="n">
        <f aca="false">$B$25</f>
        <v>15</v>
      </c>
      <c r="C87" s="12" t="n">
        <f aca="false">$B$25</f>
        <v>15</v>
      </c>
      <c r="D87" s="12" t="n">
        <f aca="false">$B$25</f>
        <v>15</v>
      </c>
    </row>
    <row r="88" customFormat="false" ht="15" hidden="false" customHeight="false" outlineLevel="0" collapsed="false">
      <c r="A88" s="5" t="s">
        <v>135</v>
      </c>
      <c r="B88" s="18" t="n">
        <f aca="false">B84-B87</f>
        <v>23.025</v>
      </c>
      <c r="C88" s="18" t="n">
        <f aca="false">C84-C87</f>
        <v>38.025</v>
      </c>
      <c r="D88" s="18" t="n">
        <f aca="false">D84-D87</f>
        <v>61.525</v>
      </c>
    </row>
    <row r="89" customFormat="false" ht="15" hidden="false" customHeight="false" outlineLevel="0" collapsed="false">
      <c r="A89" s="9" t="s">
        <v>136</v>
      </c>
      <c r="B89" s="13" t="n">
        <f aca="false">B88/B79</f>
        <v>0.232575757575758</v>
      </c>
      <c r="C89" s="13" t="n">
        <f aca="false">C88/C79</f>
        <v>0.31953781512605</v>
      </c>
      <c r="D89" s="13" t="n">
        <f aca="false">D88/D79</f>
        <v>0.343715083798883</v>
      </c>
    </row>
    <row r="90" customFormat="false" ht="15" hidden="false" customHeight="false" outlineLevel="0" collapsed="false">
      <c r="A90" s="9"/>
      <c r="B90" s="9"/>
      <c r="C90" s="9"/>
      <c r="D90" s="9"/>
    </row>
    <row r="91" customFormat="false" ht="15" hidden="false" customHeight="false" outlineLevel="0" collapsed="false">
      <c r="A91" s="5" t="s">
        <v>137</v>
      </c>
      <c r="B91" s="24" t="n">
        <f aca="false">(1-$B$26)*B84+$B$26*B88</f>
        <v>35.025</v>
      </c>
      <c r="C91" s="24" t="n">
        <f aca="false">(1-$B$26)*C84+$B$26*C88</f>
        <v>50.025</v>
      </c>
      <c r="D91" s="24" t="n">
        <f aca="false">(1-$B$26)*D84+$B$26*D88</f>
        <v>73.525</v>
      </c>
    </row>
    <row r="92" customFormat="false" ht="15" hidden="false" customHeight="false" outlineLevel="0" collapsed="false">
      <c r="A92" s="9" t="s">
        <v>138</v>
      </c>
      <c r="B92" s="13" t="n">
        <f aca="false">B91/B79</f>
        <v>0.353787878787879</v>
      </c>
      <c r="C92" s="13" t="n">
        <f aca="false">C91/C79</f>
        <v>0.420378151260504</v>
      </c>
      <c r="D92" s="13" t="n">
        <f aca="false">D91/D79</f>
        <v>0.410754189944134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H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4" customFormat="false" ht="15" hidden="false" customHeight="false" outlineLevel="0" collapsed="false">
      <c r="A4" s="8"/>
      <c r="B4" s="8" t="s">
        <v>141</v>
      </c>
      <c r="C4" s="8" t="s">
        <v>142</v>
      </c>
      <c r="D4" s="8" t="s">
        <v>143</v>
      </c>
      <c r="E4" s="8" t="s">
        <v>144</v>
      </c>
      <c r="F4" s="8" t="s">
        <v>145</v>
      </c>
      <c r="G4" s="8" t="s">
        <v>146</v>
      </c>
      <c r="H4" s="8" t="s">
        <v>147</v>
      </c>
    </row>
    <row r="5" customFormat="false" ht="15" hidden="false" customHeight="false" outlineLevel="0" collapsed="false">
      <c r="A5" s="4" t="s">
        <v>148</v>
      </c>
    </row>
    <row r="6" customFormat="false" ht="15" hidden="false" customHeight="false" outlineLevel="0" collapsed="false">
      <c r="A6" s="9" t="s">
        <v>35</v>
      </c>
      <c r="B6" s="25" t="n">
        <v>5</v>
      </c>
      <c r="C6" s="25" t="n">
        <v>8</v>
      </c>
      <c r="D6" s="25" t="n">
        <v>10</v>
      </c>
      <c r="E6" s="25" t="n">
        <v>14</v>
      </c>
      <c r="F6" s="25" t="n">
        <v>16</v>
      </c>
      <c r="G6" s="25" t="n">
        <v>20</v>
      </c>
      <c r="H6" s="26" t="n">
        <f aca="false">SUM(B6:G6)</f>
        <v>73</v>
      </c>
    </row>
    <row r="7" customFormat="false" ht="15" hidden="false" customHeight="false" outlineLevel="0" collapsed="false">
      <c r="A7" s="9" t="s">
        <v>36</v>
      </c>
      <c r="B7" s="25" t="n">
        <v>10</v>
      </c>
      <c r="C7" s="25" t="n">
        <v>14</v>
      </c>
      <c r="D7" s="25" t="n">
        <v>20</v>
      </c>
      <c r="E7" s="25" t="n">
        <v>26</v>
      </c>
      <c r="F7" s="25" t="n">
        <v>30</v>
      </c>
      <c r="G7" s="25" t="n">
        <v>36</v>
      </c>
      <c r="H7" s="26" t="n">
        <f aca="false">SUM(B7:G7)</f>
        <v>136</v>
      </c>
    </row>
    <row r="8" customFormat="false" ht="15" hidden="false" customHeight="false" outlineLevel="0" collapsed="false">
      <c r="A8" s="9" t="s">
        <v>37</v>
      </c>
      <c r="B8" s="25" t="n">
        <v>2</v>
      </c>
      <c r="C8" s="25" t="n">
        <v>4</v>
      </c>
      <c r="D8" s="25" t="n">
        <v>6</v>
      </c>
      <c r="E8" s="25" t="n">
        <v>8</v>
      </c>
      <c r="F8" s="25" t="n">
        <v>10</v>
      </c>
      <c r="G8" s="25" t="n">
        <v>12</v>
      </c>
      <c r="H8" s="26" t="n">
        <f aca="false">SUM(B8:G8)</f>
        <v>42</v>
      </c>
    </row>
    <row r="9" customFormat="false" ht="15" hidden="false" customHeight="false" outlineLevel="0" collapsed="false">
      <c r="A9" s="5" t="s">
        <v>149</v>
      </c>
      <c r="B9" s="27" t="n">
        <f aca="false">B6+B7+B8</f>
        <v>17</v>
      </c>
      <c r="C9" s="27" t="n">
        <f aca="false">C6+C7+C8</f>
        <v>26</v>
      </c>
      <c r="D9" s="27" t="n">
        <f aca="false">D6+D7+D8</f>
        <v>36</v>
      </c>
      <c r="E9" s="27" t="n">
        <f aca="false">E6+E7+E8</f>
        <v>48</v>
      </c>
      <c r="F9" s="27" t="n">
        <f aca="false">F6+F7+F8</f>
        <v>56</v>
      </c>
      <c r="G9" s="27" t="n">
        <f aca="false">G6+G7+G8</f>
        <v>68</v>
      </c>
      <c r="H9" s="27" t="n">
        <f aca="false">H6+H7+H8</f>
        <v>251</v>
      </c>
    </row>
    <row r="10" customFormat="false" ht="15" hidden="false" customHeight="false" outlineLevel="0" collapsed="false">
      <c r="A10" s="9" t="s">
        <v>150</v>
      </c>
      <c r="B10" s="26" t="n">
        <f aca="false">B9</f>
        <v>17</v>
      </c>
      <c r="C10" s="26" t="n">
        <f aca="false">B10+C9</f>
        <v>43</v>
      </c>
      <c r="D10" s="26" t="n">
        <f aca="false">C10+D9</f>
        <v>79</v>
      </c>
      <c r="E10" s="26" t="n">
        <f aca="false">D10+E9</f>
        <v>127</v>
      </c>
      <c r="F10" s="26" t="n">
        <f aca="false">E10+F9</f>
        <v>183</v>
      </c>
      <c r="G10" s="26" t="n">
        <f aca="false">F10+G9</f>
        <v>251</v>
      </c>
      <c r="H10" s="26" t="n">
        <f aca="false">G10</f>
        <v>251</v>
      </c>
    </row>
    <row r="12" customFormat="false" ht="15" hidden="false" customHeight="false" outlineLevel="0" collapsed="false">
      <c r="A12" s="4" t="s">
        <v>151</v>
      </c>
    </row>
    <row r="13" customFormat="false" ht="15" hidden="false" customHeight="false" outlineLevel="0" collapsed="false">
      <c r="A13" s="9" t="s">
        <v>35</v>
      </c>
      <c r="B13" s="28" t="n">
        <f aca="false">B6*Assumptions!C6</f>
        <v>495</v>
      </c>
      <c r="C13" s="28" t="n">
        <f aca="false">C6*Assumptions!C6</f>
        <v>792</v>
      </c>
      <c r="D13" s="28" t="n">
        <f aca="false">D6*Assumptions!C6</f>
        <v>990</v>
      </c>
      <c r="E13" s="28" t="n">
        <f aca="false">E6*Assumptions!C6</f>
        <v>1386</v>
      </c>
      <c r="F13" s="28" t="n">
        <f aca="false">F6*Assumptions!C6</f>
        <v>1584</v>
      </c>
      <c r="G13" s="28" t="n">
        <f aca="false">G6*Assumptions!C6</f>
        <v>1980</v>
      </c>
      <c r="H13" s="29" t="n">
        <f aca="false">SUM(B13:G13)</f>
        <v>7227</v>
      </c>
    </row>
    <row r="14" customFormat="false" ht="15" hidden="false" customHeight="false" outlineLevel="0" collapsed="false">
      <c r="A14" s="9" t="s">
        <v>36</v>
      </c>
      <c r="B14" s="28" t="n">
        <f aca="false">B7*Assumptions!C7</f>
        <v>1190</v>
      </c>
      <c r="C14" s="28" t="n">
        <f aca="false">C7*Assumptions!C7</f>
        <v>1666</v>
      </c>
      <c r="D14" s="28" t="n">
        <f aca="false">D7*Assumptions!C7</f>
        <v>2380</v>
      </c>
      <c r="E14" s="28" t="n">
        <f aca="false">E7*Assumptions!C7</f>
        <v>3094</v>
      </c>
      <c r="F14" s="28" t="n">
        <f aca="false">F7*Assumptions!C7</f>
        <v>3570</v>
      </c>
      <c r="G14" s="28" t="n">
        <f aca="false">G7*Assumptions!C7</f>
        <v>4284</v>
      </c>
      <c r="H14" s="29" t="n">
        <f aca="false">SUM(B14:G14)</f>
        <v>16184</v>
      </c>
    </row>
    <row r="15" customFormat="false" ht="15" hidden="false" customHeight="false" outlineLevel="0" collapsed="false">
      <c r="A15" s="9" t="s">
        <v>37</v>
      </c>
      <c r="B15" s="28" t="n">
        <f aca="false">B8*Assumptions!C8</f>
        <v>358</v>
      </c>
      <c r="C15" s="28" t="n">
        <f aca="false">C8*Assumptions!C8</f>
        <v>716</v>
      </c>
      <c r="D15" s="28" t="n">
        <f aca="false">D8*Assumptions!C8</f>
        <v>1074</v>
      </c>
      <c r="E15" s="28" t="n">
        <f aca="false">E8*Assumptions!C8</f>
        <v>1432</v>
      </c>
      <c r="F15" s="28" t="n">
        <f aca="false">F8*Assumptions!C8</f>
        <v>1790</v>
      </c>
      <c r="G15" s="28" t="n">
        <f aca="false">G8*Assumptions!C8</f>
        <v>2148</v>
      </c>
      <c r="H15" s="29" t="n">
        <f aca="false">SUM(B15:G15)</f>
        <v>7518</v>
      </c>
    </row>
    <row r="16" customFormat="false" ht="15" hidden="false" customHeight="false" outlineLevel="0" collapsed="false">
      <c r="A16" s="5" t="s">
        <v>152</v>
      </c>
      <c r="B16" s="21" t="n">
        <f aca="false">B13+B14+B15</f>
        <v>2043</v>
      </c>
      <c r="C16" s="21" t="n">
        <f aca="false">C13+C14+C15</f>
        <v>3174</v>
      </c>
      <c r="D16" s="21" t="n">
        <f aca="false">D13+D14+D15</f>
        <v>4444</v>
      </c>
      <c r="E16" s="21" t="n">
        <f aca="false">E13+E14+E15</f>
        <v>5912</v>
      </c>
      <c r="F16" s="21" t="n">
        <f aca="false">F13+F14+F15</f>
        <v>6944</v>
      </c>
      <c r="G16" s="21" t="n">
        <f aca="false">G13+G14+G15</f>
        <v>8412</v>
      </c>
      <c r="H16" s="21" t="n">
        <f aca="false">H13+H14+H15</f>
        <v>30929</v>
      </c>
    </row>
    <row r="18" customFormat="false" ht="15" hidden="false" customHeight="false" outlineLevel="0" collapsed="false">
      <c r="A18" s="4" t="s">
        <v>153</v>
      </c>
    </row>
    <row r="19" customFormat="false" ht="15" hidden="false" customHeight="false" outlineLevel="0" collapsed="false">
      <c r="A19" s="9" t="s">
        <v>154</v>
      </c>
      <c r="B19" s="28" t="n">
        <f aca="false">B6*Assumptions!B6</f>
        <v>292.5</v>
      </c>
      <c r="C19" s="28" t="n">
        <f aca="false">C6*Assumptions!B6</f>
        <v>468</v>
      </c>
      <c r="D19" s="28" t="n">
        <f aca="false">D6*Assumptions!B6</f>
        <v>585</v>
      </c>
      <c r="E19" s="28" t="n">
        <f aca="false">E6*Assumptions!B6</f>
        <v>819</v>
      </c>
      <c r="F19" s="28" t="n">
        <f aca="false">F6*Assumptions!B6</f>
        <v>936</v>
      </c>
      <c r="G19" s="28" t="n">
        <f aca="false">G6*Assumptions!B6</f>
        <v>1170</v>
      </c>
      <c r="H19" s="29" t="n">
        <f aca="false">SUM(B19:G19)</f>
        <v>4270.5</v>
      </c>
    </row>
    <row r="20" customFormat="false" ht="15" hidden="false" customHeight="false" outlineLevel="0" collapsed="false">
      <c r="A20" s="9" t="s">
        <v>155</v>
      </c>
      <c r="B20" s="28" t="n">
        <f aca="false">B7*Assumptions!B7</f>
        <v>630</v>
      </c>
      <c r="C20" s="28" t="n">
        <f aca="false">C7*Assumptions!B7</f>
        <v>882</v>
      </c>
      <c r="D20" s="28" t="n">
        <f aca="false">D7*Assumptions!B7</f>
        <v>1260</v>
      </c>
      <c r="E20" s="28" t="n">
        <f aca="false">E7*Assumptions!B7</f>
        <v>1638</v>
      </c>
      <c r="F20" s="28" t="n">
        <f aca="false">F7*Assumptions!B7</f>
        <v>1890</v>
      </c>
      <c r="G20" s="28" t="n">
        <f aca="false">G7*Assumptions!B7</f>
        <v>2268</v>
      </c>
      <c r="H20" s="29" t="n">
        <f aca="false">SUM(B20:G20)</f>
        <v>8568</v>
      </c>
    </row>
    <row r="21" customFormat="false" ht="15" hidden="false" customHeight="false" outlineLevel="0" collapsed="false">
      <c r="A21" s="9" t="s">
        <v>156</v>
      </c>
      <c r="B21" s="28" t="n">
        <f aca="false">B8*Assumptions!B8</f>
        <v>196</v>
      </c>
      <c r="C21" s="28" t="n">
        <f aca="false">C8*Assumptions!B8</f>
        <v>392</v>
      </c>
      <c r="D21" s="28" t="n">
        <f aca="false">D8*Assumptions!B8</f>
        <v>588</v>
      </c>
      <c r="E21" s="28" t="n">
        <f aca="false">E8*Assumptions!B8</f>
        <v>784</v>
      </c>
      <c r="F21" s="28" t="n">
        <f aca="false">F8*Assumptions!B8</f>
        <v>980</v>
      </c>
      <c r="G21" s="28" t="n">
        <f aca="false">G8*Assumptions!B8</f>
        <v>1176</v>
      </c>
      <c r="H21" s="29" t="n">
        <f aca="false">SUM(B21:G21)</f>
        <v>4116</v>
      </c>
    </row>
    <row r="22" customFormat="false" ht="15" hidden="false" customHeight="false" outlineLevel="0" collapsed="false">
      <c r="A22" s="5" t="s">
        <v>157</v>
      </c>
      <c r="B22" s="21" t="n">
        <f aca="false">B19+B20+B21</f>
        <v>1118.5</v>
      </c>
      <c r="C22" s="21" t="n">
        <f aca="false">C19+C20+C21</f>
        <v>1742</v>
      </c>
      <c r="D22" s="21" t="n">
        <f aca="false">D19+D20+D21</f>
        <v>2433</v>
      </c>
      <c r="E22" s="21" t="n">
        <f aca="false">E19+E20+E21</f>
        <v>3241</v>
      </c>
      <c r="F22" s="21" t="n">
        <f aca="false">F19+F20+F21</f>
        <v>3806</v>
      </c>
      <c r="G22" s="21" t="n">
        <f aca="false">G19+G20+G21</f>
        <v>4614</v>
      </c>
      <c r="H22" s="21" t="n">
        <f aca="false">H19+H20+H21</f>
        <v>16954.5</v>
      </c>
    </row>
    <row r="24" customFormat="false" ht="15" hidden="false" customHeight="false" outlineLevel="0" collapsed="false">
      <c r="A24" s="30" t="s">
        <v>158</v>
      </c>
      <c r="B24" s="31" t="n">
        <f aca="false">B16-B22</f>
        <v>924.5</v>
      </c>
      <c r="C24" s="31" t="n">
        <f aca="false">C16-C22</f>
        <v>1432</v>
      </c>
      <c r="D24" s="31" t="n">
        <f aca="false">D16-D22</f>
        <v>2011</v>
      </c>
      <c r="E24" s="31" t="n">
        <f aca="false">E16-E22</f>
        <v>2671</v>
      </c>
      <c r="F24" s="31" t="n">
        <f aca="false">F16-F22</f>
        <v>3138</v>
      </c>
      <c r="G24" s="31" t="n">
        <f aca="false">G16-G22</f>
        <v>3798</v>
      </c>
      <c r="H24" s="31" t="n">
        <f aca="false">H16-H22</f>
        <v>13974.5</v>
      </c>
    </row>
    <row r="25" customFormat="false" ht="15" hidden="false" customHeight="false" outlineLevel="0" collapsed="false">
      <c r="A25" s="9" t="s">
        <v>159</v>
      </c>
      <c r="B25" s="13" t="n">
        <f aca="false">IF(B16=0,0,B24/B16)</f>
        <v>0.452520802741067</v>
      </c>
      <c r="C25" s="13" t="n">
        <f aca="false">IF(C16=0,0,C24/C16)</f>
        <v>0.451165721487083</v>
      </c>
      <c r="D25" s="13" t="n">
        <f aca="false">IF(D16=0,0,D24/D16)</f>
        <v>0.452520252025203</v>
      </c>
      <c r="E25" s="13" t="n">
        <f aca="false">IF(E16=0,0,E24/E16)</f>
        <v>0.451792963464141</v>
      </c>
      <c r="F25" s="13" t="n">
        <f aca="false">IF(F16=0,0,F24/F16)</f>
        <v>0.451900921658986</v>
      </c>
      <c r="G25" s="13" t="n">
        <f aca="false">IF(G16=0,0,G24/G16)</f>
        <v>0.451497860199715</v>
      </c>
      <c r="H25" s="13" t="n">
        <f aca="false">IF(H16=0,0,H24/H16)</f>
        <v>0.451825147919428</v>
      </c>
    </row>
    <row r="27" customFormat="false" ht="15" hidden="false" customHeight="false" outlineLevel="0" collapsed="false">
      <c r="A27" s="4" t="s">
        <v>160</v>
      </c>
    </row>
    <row r="28" customFormat="false" ht="15" hidden="false" customHeight="false" outlineLevel="0" collapsed="false">
      <c r="A28" s="9" t="s">
        <v>161</v>
      </c>
      <c r="B28" s="32" t="n">
        <f aca="false">ROUND((B7+B8)*Assumptions!B27,0)</f>
        <v>1</v>
      </c>
      <c r="C28" s="32" t="n">
        <f aca="false">ROUND((C7+C8)*Assumptions!B27,0)</f>
        <v>2</v>
      </c>
      <c r="D28" s="32" t="n">
        <f aca="false">ROUND((D7+D8)*Assumptions!B27,0)</f>
        <v>3</v>
      </c>
      <c r="E28" s="32" t="n">
        <f aca="false">ROUND((E7+E8)*Assumptions!B27,0)</f>
        <v>4</v>
      </c>
      <c r="F28" s="32" t="n">
        <f aca="false">ROUND((F7+F8)*Assumptions!B27,0)</f>
        <v>5</v>
      </c>
      <c r="G28" s="32" t="n">
        <f aca="false">ROUND((G7+G8)*Assumptions!B27,0)</f>
        <v>6</v>
      </c>
      <c r="H28" s="26" t="n">
        <f aca="false">SUM(B28:G28)</f>
        <v>21</v>
      </c>
    </row>
    <row r="29" customFormat="false" ht="15" hidden="false" customHeight="false" outlineLevel="0" collapsed="false">
      <c r="A29" s="9" t="s">
        <v>162</v>
      </c>
      <c r="B29" s="9" t="n">
        <v>0</v>
      </c>
      <c r="C29" s="26" t="n">
        <f aca="false">ROUND(B30*Assumptions!B28,0)</f>
        <v>0</v>
      </c>
      <c r="D29" s="26" t="n">
        <f aca="false">ROUND(C30*Assumptions!B28,0)</f>
        <v>0</v>
      </c>
      <c r="E29" s="26" t="n">
        <f aca="false">ROUND(D30*Assumptions!B28,0)</f>
        <v>0</v>
      </c>
      <c r="F29" s="26" t="n">
        <f aca="false">ROUND(E30*Assumptions!B28,0)</f>
        <v>0</v>
      </c>
      <c r="G29" s="26" t="n">
        <f aca="false">ROUND(F30*Assumptions!B28,0)</f>
        <v>0</v>
      </c>
      <c r="H29" s="26" t="n">
        <f aca="false">SUM(B29:G29)</f>
        <v>0</v>
      </c>
    </row>
    <row r="30" customFormat="false" ht="15" hidden="false" customHeight="false" outlineLevel="0" collapsed="false">
      <c r="A30" s="5" t="s">
        <v>163</v>
      </c>
      <c r="B30" s="27" t="n">
        <f aca="false">B28-B29</f>
        <v>1</v>
      </c>
      <c r="C30" s="27" t="n">
        <f aca="false">B30+C28-C29</f>
        <v>3</v>
      </c>
      <c r="D30" s="27" t="n">
        <f aca="false">C30+D28-D29</f>
        <v>6</v>
      </c>
      <c r="E30" s="27" t="n">
        <f aca="false">D30+E28-E29</f>
        <v>10</v>
      </c>
      <c r="F30" s="27" t="n">
        <f aca="false">E30+F28-F29</f>
        <v>15</v>
      </c>
      <c r="G30" s="27" t="n">
        <f aca="false">F30+G28-G29</f>
        <v>21</v>
      </c>
      <c r="H30" s="27" t="n">
        <f aca="false">G30</f>
        <v>21</v>
      </c>
    </row>
    <row r="32" customFormat="false" ht="15" hidden="false" customHeight="false" outlineLevel="0" collapsed="false">
      <c r="A32" s="4" t="s">
        <v>164</v>
      </c>
    </row>
    <row r="33" customFormat="false" ht="15" hidden="false" customHeight="false" outlineLevel="0" collapsed="false">
      <c r="A33" s="9" t="s">
        <v>165</v>
      </c>
      <c r="B33" s="28" t="n">
        <f aca="false">B30*Assumptions!C18</f>
        <v>34.95</v>
      </c>
      <c r="C33" s="28" t="n">
        <f aca="false">C30*Assumptions!C18</f>
        <v>104.85</v>
      </c>
      <c r="D33" s="28" t="n">
        <f aca="false">D30*Assumptions!C18</f>
        <v>209.7</v>
      </c>
      <c r="E33" s="28" t="n">
        <f aca="false">E30*Assumptions!C18</f>
        <v>349.5</v>
      </c>
      <c r="F33" s="28" t="n">
        <f aca="false">F30*Assumptions!C18</f>
        <v>524.25</v>
      </c>
      <c r="G33" s="28" t="n">
        <f aca="false">G30*Assumptions!C18</f>
        <v>733.95</v>
      </c>
      <c r="H33" s="29" t="n">
        <f aca="false">SUM(B33:G33)</f>
        <v>1957.2</v>
      </c>
    </row>
    <row r="34" customFormat="false" ht="15" hidden="false" customHeight="false" outlineLevel="0" collapsed="false">
      <c r="A34" s="9" t="s">
        <v>166</v>
      </c>
      <c r="B34" s="28" t="n">
        <f aca="false">B30*Assumptions!B18</f>
        <v>15</v>
      </c>
      <c r="C34" s="28" t="n">
        <f aca="false">C30*Assumptions!B18</f>
        <v>45</v>
      </c>
      <c r="D34" s="28" t="n">
        <f aca="false">D30*Assumptions!B18</f>
        <v>90</v>
      </c>
      <c r="E34" s="28" t="n">
        <f aca="false">E30*Assumptions!B18</f>
        <v>150</v>
      </c>
      <c r="F34" s="28" t="n">
        <f aca="false">F30*Assumptions!B18</f>
        <v>225</v>
      </c>
      <c r="G34" s="28" t="n">
        <f aca="false">G30*Assumptions!B18</f>
        <v>315</v>
      </c>
      <c r="H34" s="29" t="n">
        <f aca="false">SUM(B34:G34)</f>
        <v>840</v>
      </c>
    </row>
    <row r="35" customFormat="false" ht="15" hidden="false" customHeight="false" outlineLevel="0" collapsed="false">
      <c r="A35" s="5" t="s">
        <v>167</v>
      </c>
      <c r="B35" s="21" t="n">
        <f aca="false">B33-B34</f>
        <v>19.95</v>
      </c>
      <c r="C35" s="21" t="n">
        <f aca="false">C33-C34</f>
        <v>59.85</v>
      </c>
      <c r="D35" s="21" t="n">
        <f aca="false">D33-D34</f>
        <v>119.7</v>
      </c>
      <c r="E35" s="21" t="n">
        <f aca="false">E33-E34</f>
        <v>199.5</v>
      </c>
      <c r="F35" s="21" t="n">
        <f aca="false">F33-F34</f>
        <v>299.25</v>
      </c>
      <c r="G35" s="21" t="n">
        <f aca="false">G33-G34</f>
        <v>418.95</v>
      </c>
      <c r="H35" s="21" t="n">
        <f aca="false">H33-H34</f>
        <v>1117.2</v>
      </c>
    </row>
    <row r="37" customFormat="false" ht="15" hidden="false" customHeight="false" outlineLevel="0" collapsed="false">
      <c r="A37" s="4" t="s">
        <v>168</v>
      </c>
    </row>
    <row r="38" customFormat="false" ht="15" hidden="false" customHeight="false" outlineLevel="0" collapsed="false">
      <c r="A38" s="9" t="s">
        <v>169</v>
      </c>
      <c r="B38" s="26" t="n">
        <f aca="false">B6+B8</f>
        <v>7</v>
      </c>
      <c r="C38" s="26" t="n">
        <f aca="false">C6+C8</f>
        <v>12</v>
      </c>
      <c r="D38" s="26" t="n">
        <f aca="false">D6+D8</f>
        <v>16</v>
      </c>
      <c r="E38" s="26" t="n">
        <f aca="false">E6+E8</f>
        <v>22</v>
      </c>
      <c r="F38" s="26" t="n">
        <f aca="false">F6+F8</f>
        <v>26</v>
      </c>
      <c r="G38" s="26" t="n">
        <f aca="false">G6+G8</f>
        <v>32</v>
      </c>
      <c r="H38" s="26" t="n">
        <f aca="false">SUM(B38:G38)</f>
        <v>115</v>
      </c>
    </row>
    <row r="39" customFormat="false" ht="15" hidden="false" customHeight="false" outlineLevel="0" collapsed="false">
      <c r="A39" s="9" t="s">
        <v>170</v>
      </c>
      <c r="B39" s="32" t="n">
        <f aca="false">ROUND(B38*Assumptions!B30,0)</f>
        <v>2</v>
      </c>
      <c r="C39" s="32" t="n">
        <f aca="false">ROUND(C38*Assumptions!B30,0)</f>
        <v>4</v>
      </c>
      <c r="D39" s="32" t="n">
        <f aca="false">ROUND(D38*Assumptions!B30,0)</f>
        <v>6</v>
      </c>
      <c r="E39" s="32" t="n">
        <f aca="false">ROUND(E38*Assumptions!B30,0)</f>
        <v>8</v>
      </c>
      <c r="F39" s="32" t="n">
        <f aca="false">ROUND(F38*Assumptions!B30,0)</f>
        <v>9</v>
      </c>
      <c r="G39" s="32" t="n">
        <f aca="false">ROUND(G38*Assumptions!B30,0)</f>
        <v>11</v>
      </c>
      <c r="H39" s="26" t="n">
        <f aca="false">SUM(B39:G39)</f>
        <v>40</v>
      </c>
    </row>
    <row r="40" customFormat="false" ht="15" hidden="false" customHeight="false" outlineLevel="0" collapsed="false">
      <c r="A40" s="9" t="s">
        <v>171</v>
      </c>
      <c r="B40" s="32" t="n">
        <f aca="false">ROUND(B39*Assumptions!B31,0)</f>
        <v>1</v>
      </c>
      <c r="C40" s="32" t="n">
        <f aca="false">ROUND(C39*Assumptions!B31,0)</f>
        <v>2</v>
      </c>
      <c r="D40" s="32" t="n">
        <f aca="false">ROUND(D39*Assumptions!B31,0)</f>
        <v>3</v>
      </c>
      <c r="E40" s="32" t="n">
        <f aca="false">ROUND(E39*Assumptions!B31,0)</f>
        <v>4</v>
      </c>
      <c r="F40" s="32" t="n">
        <f aca="false">ROUND(F39*Assumptions!B31,0)</f>
        <v>5</v>
      </c>
      <c r="G40" s="32" t="n">
        <f aca="false">ROUND(G39*Assumptions!B31,0)</f>
        <v>6</v>
      </c>
      <c r="H40" s="26" t="n">
        <f aca="false">SUM(B40:G40)</f>
        <v>21</v>
      </c>
    </row>
    <row r="41" customFormat="false" ht="15" hidden="false" customHeight="false" outlineLevel="0" collapsed="false">
      <c r="A41" s="5" t="s">
        <v>172</v>
      </c>
      <c r="B41" s="28" t="n">
        <f aca="false">B40*Assumptions!B29</f>
        <v>75</v>
      </c>
      <c r="C41" s="28" t="n">
        <f aca="false">C40*Assumptions!B29</f>
        <v>150</v>
      </c>
      <c r="D41" s="28" t="n">
        <f aca="false">D40*Assumptions!B29</f>
        <v>225</v>
      </c>
      <c r="E41" s="28" t="n">
        <f aca="false">E40*Assumptions!B29</f>
        <v>300</v>
      </c>
      <c r="F41" s="28" t="n">
        <f aca="false">F40*Assumptions!B29</f>
        <v>375</v>
      </c>
      <c r="G41" s="28" t="n">
        <f aca="false">G40*Assumptions!B29</f>
        <v>450</v>
      </c>
      <c r="H41" s="29" t="n">
        <f aca="false">SUM(B41:G41)</f>
        <v>1575</v>
      </c>
    </row>
    <row r="43" customFormat="false" ht="15" hidden="false" customHeight="false" outlineLevel="0" collapsed="false">
      <c r="A43" s="4" t="s">
        <v>173</v>
      </c>
    </row>
    <row r="44" customFormat="false" ht="15" hidden="false" customHeight="false" outlineLevel="0" collapsed="false">
      <c r="A44" s="9" t="s">
        <v>174</v>
      </c>
      <c r="B44" s="29" t="n">
        <f aca="false">B16</f>
        <v>2043</v>
      </c>
      <c r="C44" s="29" t="n">
        <f aca="false">C16</f>
        <v>3174</v>
      </c>
      <c r="D44" s="29" t="n">
        <f aca="false">D16</f>
        <v>4444</v>
      </c>
      <c r="E44" s="29" t="n">
        <f aca="false">E16</f>
        <v>5912</v>
      </c>
      <c r="F44" s="29" t="n">
        <f aca="false">F16</f>
        <v>6944</v>
      </c>
      <c r="G44" s="29" t="n">
        <f aca="false">G16</f>
        <v>8412</v>
      </c>
      <c r="H44" s="29" t="n">
        <f aca="false">H16</f>
        <v>30929</v>
      </c>
    </row>
    <row r="45" customFormat="false" ht="15" hidden="false" customHeight="false" outlineLevel="0" collapsed="false">
      <c r="A45" s="9" t="s">
        <v>165</v>
      </c>
      <c r="B45" s="29" t="n">
        <f aca="false">B33</f>
        <v>34.95</v>
      </c>
      <c r="C45" s="29" t="n">
        <f aca="false">C33</f>
        <v>104.85</v>
      </c>
      <c r="D45" s="29" t="n">
        <f aca="false">D33</f>
        <v>209.7</v>
      </c>
      <c r="E45" s="29" t="n">
        <f aca="false">E33</f>
        <v>349.5</v>
      </c>
      <c r="F45" s="29" t="n">
        <f aca="false">F33</f>
        <v>524.25</v>
      </c>
      <c r="G45" s="29" t="n">
        <f aca="false">G33</f>
        <v>733.95</v>
      </c>
      <c r="H45" s="29" t="n">
        <f aca="false">H33</f>
        <v>1957.2</v>
      </c>
    </row>
    <row r="46" customFormat="false" ht="15" hidden="false" customHeight="false" outlineLevel="0" collapsed="false">
      <c r="A46" s="9" t="s">
        <v>172</v>
      </c>
      <c r="B46" s="29" t="n">
        <f aca="false">B41</f>
        <v>75</v>
      </c>
      <c r="C46" s="29" t="n">
        <f aca="false">C41</f>
        <v>150</v>
      </c>
      <c r="D46" s="29" t="n">
        <f aca="false">D41</f>
        <v>225</v>
      </c>
      <c r="E46" s="29" t="n">
        <f aca="false">E41</f>
        <v>300</v>
      </c>
      <c r="F46" s="29" t="n">
        <f aca="false">F41</f>
        <v>375</v>
      </c>
      <c r="G46" s="29" t="n">
        <f aca="false">G41</f>
        <v>450</v>
      </c>
      <c r="H46" s="29" t="n">
        <f aca="false">H41</f>
        <v>1575</v>
      </c>
    </row>
    <row r="47" customFormat="false" ht="15" hidden="false" customHeight="false" outlineLevel="0" collapsed="false">
      <c r="A47" s="33" t="s">
        <v>175</v>
      </c>
      <c r="B47" s="17" t="n">
        <f aca="false">B44+B45+B46</f>
        <v>2152.95</v>
      </c>
      <c r="C47" s="17" t="n">
        <f aca="false">C44+C45+C46</f>
        <v>3428.85</v>
      </c>
      <c r="D47" s="17" t="n">
        <f aca="false">D44+D45+D46</f>
        <v>4878.7</v>
      </c>
      <c r="E47" s="17" t="n">
        <f aca="false">E44+E45+E46</f>
        <v>6561.5</v>
      </c>
      <c r="F47" s="17" t="n">
        <f aca="false">F44+F45+F46</f>
        <v>7843.25</v>
      </c>
      <c r="G47" s="17" t="n">
        <f aca="false">G44+G45+G46</f>
        <v>9595.95</v>
      </c>
      <c r="H47" s="17" t="n">
        <f aca="false">H44+H45+H46</f>
        <v>34461.2</v>
      </c>
    </row>
    <row r="49" customFormat="false" ht="15" hidden="false" customHeight="false" outlineLevel="0" collapsed="false">
      <c r="A49" s="4" t="s">
        <v>176</v>
      </c>
    </row>
    <row r="50" customFormat="false" ht="15" hidden="false" customHeight="false" outlineLevel="0" collapsed="false">
      <c r="A50" s="9" t="s">
        <v>177</v>
      </c>
      <c r="B50" s="29" t="n">
        <f aca="false">B22</f>
        <v>1118.5</v>
      </c>
      <c r="C50" s="29" t="n">
        <f aca="false">C22</f>
        <v>1742</v>
      </c>
      <c r="D50" s="29" t="n">
        <f aca="false">D22</f>
        <v>2433</v>
      </c>
      <c r="E50" s="29" t="n">
        <f aca="false">E22</f>
        <v>3241</v>
      </c>
      <c r="F50" s="29" t="n">
        <f aca="false">F22</f>
        <v>3806</v>
      </c>
      <c r="G50" s="29" t="n">
        <f aca="false">G22</f>
        <v>4614</v>
      </c>
      <c r="H50" s="29" t="n">
        <f aca="false">H22</f>
        <v>16954.5</v>
      </c>
    </row>
    <row r="51" customFormat="false" ht="15" hidden="false" customHeight="false" outlineLevel="0" collapsed="false">
      <c r="A51" s="9" t="s">
        <v>166</v>
      </c>
      <c r="B51" s="29" t="n">
        <f aca="false">B34</f>
        <v>15</v>
      </c>
      <c r="C51" s="29" t="n">
        <f aca="false">C34</f>
        <v>45</v>
      </c>
      <c r="D51" s="29" t="n">
        <f aca="false">D34</f>
        <v>90</v>
      </c>
      <c r="E51" s="29" t="n">
        <f aca="false">E34</f>
        <v>150</v>
      </c>
      <c r="F51" s="29" t="n">
        <f aca="false">F34</f>
        <v>225</v>
      </c>
      <c r="G51" s="29" t="n">
        <f aca="false">G34</f>
        <v>315</v>
      </c>
      <c r="H51" s="29" t="n">
        <f aca="false">H34</f>
        <v>840</v>
      </c>
    </row>
    <row r="52" customFormat="false" ht="15" hidden="false" customHeight="false" outlineLevel="0" collapsed="false">
      <c r="A52" s="5" t="s">
        <v>176</v>
      </c>
      <c r="B52" s="21" t="n">
        <f aca="false">B50+B51</f>
        <v>1133.5</v>
      </c>
      <c r="C52" s="21" t="n">
        <f aca="false">C50+C51</f>
        <v>1787</v>
      </c>
      <c r="D52" s="21" t="n">
        <f aca="false">D50+D51</f>
        <v>2523</v>
      </c>
      <c r="E52" s="21" t="n">
        <f aca="false">E50+E51</f>
        <v>3391</v>
      </c>
      <c r="F52" s="21" t="n">
        <f aca="false">F50+F51</f>
        <v>4031</v>
      </c>
      <c r="G52" s="21" t="n">
        <f aca="false">G50+G51</f>
        <v>4929</v>
      </c>
      <c r="H52" s="21" t="n">
        <f aca="false">H50+H51</f>
        <v>17794.5</v>
      </c>
    </row>
    <row r="54" customFormat="false" ht="15" hidden="false" customHeight="false" outlineLevel="0" collapsed="false">
      <c r="A54" s="30" t="s">
        <v>178</v>
      </c>
      <c r="B54" s="31" t="n">
        <f aca="false">B47-B52</f>
        <v>1019.45</v>
      </c>
      <c r="C54" s="31" t="n">
        <f aca="false">C47-C52</f>
        <v>1641.85</v>
      </c>
      <c r="D54" s="31" t="n">
        <f aca="false">D47-D52</f>
        <v>2355.7</v>
      </c>
      <c r="E54" s="31" t="n">
        <f aca="false">E47-E52</f>
        <v>3170.5</v>
      </c>
      <c r="F54" s="31" t="n">
        <f aca="false">F47-F52</f>
        <v>3812.25</v>
      </c>
      <c r="G54" s="31" t="n">
        <f aca="false">G47-G52</f>
        <v>4666.95</v>
      </c>
      <c r="H54" s="31" t="n">
        <f aca="false">H47-H52</f>
        <v>16666.7</v>
      </c>
    </row>
    <row r="55" customFormat="false" ht="15" hidden="false" customHeight="false" outlineLevel="0" collapsed="false">
      <c r="A55" s="9" t="s">
        <v>34</v>
      </c>
      <c r="B55" s="13" t="n">
        <f aca="false">IF(B47=0,0,B54/B47)</f>
        <v>0.473513086695</v>
      </c>
      <c r="C55" s="13" t="n">
        <f aca="false">IF(C47=0,0,C54/C47)</f>
        <v>0.47883401140324</v>
      </c>
      <c r="D55" s="13" t="n">
        <f aca="false">IF(D47=0,0,D54/D47)</f>
        <v>0.482854038985795</v>
      </c>
      <c r="E55" s="13" t="n">
        <f aca="false">IF(E47=0,0,E54/E47)</f>
        <v>0.483197439609845</v>
      </c>
      <c r="F55" s="13" t="n">
        <f aca="false">IF(F47=0,0,F54/F47)</f>
        <v>0.486054887960986</v>
      </c>
      <c r="G55" s="13" t="n">
        <f aca="false">IF(G47=0,0,G54/G47)</f>
        <v>0.486345802135276</v>
      </c>
      <c r="H55" s="13" t="n">
        <f aca="false">IF(H47=0,0,H54/H47)</f>
        <v>0.483636669645863</v>
      </c>
    </row>
    <row r="57" customFormat="false" ht="15" hidden="false" customHeight="false" outlineLevel="0" collapsed="false">
      <c r="A57" s="4" t="s">
        <v>179</v>
      </c>
    </row>
    <row r="58" customFormat="false" ht="15" hidden="false" customHeight="false" outlineLevel="0" collapsed="false">
      <c r="A58" s="9" t="s">
        <v>180</v>
      </c>
      <c r="B58" s="28" t="n">
        <f aca="false">Assumptions!B46</f>
        <v>88</v>
      </c>
      <c r="C58" s="28" t="n">
        <f aca="false">Assumptions!B46</f>
        <v>88</v>
      </c>
      <c r="D58" s="28" t="n">
        <f aca="false">Assumptions!B46</f>
        <v>88</v>
      </c>
      <c r="E58" s="28" t="n">
        <f aca="false">Assumptions!B46</f>
        <v>88</v>
      </c>
      <c r="F58" s="28" t="n">
        <f aca="false">Assumptions!B46</f>
        <v>88</v>
      </c>
      <c r="G58" s="28" t="n">
        <f aca="false">Assumptions!B46</f>
        <v>88</v>
      </c>
      <c r="H58" s="29" t="n">
        <f aca="false">SUM(B58:G58)</f>
        <v>528</v>
      </c>
    </row>
    <row r="59" customFormat="false" ht="15" hidden="false" customHeight="false" outlineLevel="0" collapsed="false">
      <c r="A59" s="9" t="s">
        <v>181</v>
      </c>
      <c r="B59" s="28" t="n">
        <f aca="false">B47*Assumptions!B24</f>
        <v>53.82375</v>
      </c>
      <c r="C59" s="28" t="n">
        <f aca="false">C47*Assumptions!B24</f>
        <v>85.72125</v>
      </c>
      <c r="D59" s="28" t="n">
        <f aca="false">D47*Assumptions!B24</f>
        <v>121.9675</v>
      </c>
      <c r="E59" s="28" t="n">
        <f aca="false">E47*Assumptions!B24</f>
        <v>164.0375</v>
      </c>
      <c r="F59" s="28" t="n">
        <f aca="false">F47*Assumptions!B24</f>
        <v>196.08125</v>
      </c>
      <c r="G59" s="28" t="n">
        <f aca="false">G47*Assumptions!B24</f>
        <v>239.89875</v>
      </c>
      <c r="H59" s="29" t="n">
        <f aca="false">SUM(B59:G59)</f>
        <v>861.53</v>
      </c>
    </row>
    <row r="60" customFormat="false" ht="15" hidden="false" customHeight="false" outlineLevel="0" collapsed="false">
      <c r="A60" s="9" t="s">
        <v>182</v>
      </c>
      <c r="B60" s="28" t="n">
        <f aca="false">B9*Assumptions!B26*Assumptions!B25</f>
        <v>51</v>
      </c>
      <c r="C60" s="28" t="n">
        <f aca="false">C9*Assumptions!B26*Assumptions!B25</f>
        <v>78</v>
      </c>
      <c r="D60" s="28" t="n">
        <f aca="false">D9*Assumptions!B26*Assumptions!B25</f>
        <v>108</v>
      </c>
      <c r="E60" s="28" t="n">
        <f aca="false">E9*Assumptions!B26*Assumptions!B25</f>
        <v>144</v>
      </c>
      <c r="F60" s="28" t="n">
        <f aca="false">F9*Assumptions!B26*Assumptions!B25</f>
        <v>168</v>
      </c>
      <c r="G60" s="28" t="n">
        <f aca="false">G9*Assumptions!B26*Assumptions!B25</f>
        <v>204</v>
      </c>
      <c r="H60" s="29" t="n">
        <f aca="false">SUM(B60:G60)</f>
        <v>753</v>
      </c>
    </row>
    <row r="61" customFormat="false" ht="15" hidden="false" customHeight="false" outlineLevel="0" collapsed="false">
      <c r="A61" s="5" t="s">
        <v>183</v>
      </c>
      <c r="B61" s="21" t="n">
        <f aca="false">B58+B59+B60</f>
        <v>192.82375</v>
      </c>
      <c r="C61" s="21" t="n">
        <f aca="false">C58+C59+C60</f>
        <v>251.72125</v>
      </c>
      <c r="D61" s="21" t="n">
        <f aca="false">D58+D59+D60</f>
        <v>317.9675</v>
      </c>
      <c r="E61" s="21" t="n">
        <f aca="false">E58+E59+E60</f>
        <v>396.0375</v>
      </c>
      <c r="F61" s="21" t="n">
        <f aca="false">F58+F59+F60</f>
        <v>452.08125</v>
      </c>
      <c r="G61" s="21" t="n">
        <f aca="false">G58+G59+G60</f>
        <v>531.89875</v>
      </c>
      <c r="H61" s="21" t="n">
        <f aca="false">H58+H59+H60</f>
        <v>2142.53</v>
      </c>
    </row>
    <row r="63" customFormat="false" ht="15" hidden="false" customHeight="false" outlineLevel="0" collapsed="false">
      <c r="A63" s="30" t="s">
        <v>184</v>
      </c>
      <c r="B63" s="31" t="n">
        <f aca="false">B54-B61</f>
        <v>826.62625</v>
      </c>
      <c r="C63" s="31" t="n">
        <f aca="false">C54-C61</f>
        <v>1390.12875</v>
      </c>
      <c r="D63" s="31" t="n">
        <f aca="false">D54-D61</f>
        <v>2037.7325</v>
      </c>
      <c r="E63" s="31" t="n">
        <f aca="false">E54-E61</f>
        <v>2774.4625</v>
      </c>
      <c r="F63" s="31" t="n">
        <f aca="false">F54-F61</f>
        <v>3360.16875</v>
      </c>
      <c r="G63" s="31" t="n">
        <f aca="false">G54-G61</f>
        <v>4135.05125</v>
      </c>
      <c r="H63" s="31" t="n">
        <f aca="false">H54-H61</f>
        <v>14524.17</v>
      </c>
    </row>
    <row r="64" customFormat="false" ht="15" hidden="false" customHeight="false" outlineLevel="0" collapsed="false">
      <c r="A64" s="9" t="s">
        <v>185</v>
      </c>
      <c r="B64" s="13" t="n">
        <f aca="false">IF(B47=0,0,B63/B47)</f>
        <v>0.38395050976567</v>
      </c>
      <c r="C64" s="13" t="n">
        <f aca="false">IF(C47=0,0,C63/C47)</f>
        <v>0.40542127827114</v>
      </c>
      <c r="D64" s="13" t="n">
        <f aca="false">IF(D47=0,0,D63/D47)</f>
        <v>0.417679402299793</v>
      </c>
      <c r="E64" s="13" t="n">
        <f aca="false">IF(E47=0,0,E63/E47)</f>
        <v>0.42283967080698</v>
      </c>
      <c r="F64" s="13" t="n">
        <f aca="false">IF(F47=0,0,F63/F47)</f>
        <v>0.428415357154241</v>
      </c>
      <c r="G64" s="13" t="n">
        <f aca="false">IF(G47=0,0,G63/G47)</f>
        <v>0.430916298021561</v>
      </c>
      <c r="H64" s="13" t="n">
        <f aca="false">IF(H47=0,0,H63/H47)</f>
        <v>0.421464429561362</v>
      </c>
    </row>
    <row r="66" customFormat="false" ht="15" hidden="false" customHeight="false" outlineLevel="0" collapsed="false">
      <c r="A66" s="4" t="s">
        <v>186</v>
      </c>
    </row>
    <row r="67" customFormat="false" ht="15" hidden="false" customHeight="false" outlineLevel="0" collapsed="false">
      <c r="A67" s="33" t="s">
        <v>187</v>
      </c>
      <c r="B67" s="17" t="n">
        <f aca="false">B63</f>
        <v>826.62625</v>
      </c>
      <c r="C67" s="17" t="n">
        <f aca="false">B67+C63</f>
        <v>2216.755</v>
      </c>
      <c r="D67" s="17" t="n">
        <f aca="false">C67+D63</f>
        <v>4254.4875</v>
      </c>
      <c r="E67" s="17" t="n">
        <f aca="false">D67+E63</f>
        <v>7028.95</v>
      </c>
      <c r="F67" s="17" t="n">
        <f aca="false">E67+F63</f>
        <v>10389.11875</v>
      </c>
      <c r="G67" s="17" t="n">
        <f aca="false">F67+G63</f>
        <v>14524.17</v>
      </c>
      <c r="H67" s="17" t="n">
        <f aca="false">G67</f>
        <v>14524.17</v>
      </c>
    </row>
    <row r="69" customFormat="false" ht="15" hidden="false" customHeight="false" outlineLevel="0" collapsed="false">
      <c r="A69" s="4" t="s">
        <v>188</v>
      </c>
    </row>
    <row r="70" customFormat="false" ht="15" hidden="false" customHeight="false" outlineLevel="0" collapsed="false">
      <c r="A70" s="9" t="s">
        <v>189</v>
      </c>
      <c r="B70" s="12" t="n">
        <f aca="false">IF(B9=0,0,B16/B9)</f>
        <v>120.176470588235</v>
      </c>
      <c r="C70" s="12" t="n">
        <f aca="false">IF(C9=0,0,C16/C9)</f>
        <v>122.076923076923</v>
      </c>
      <c r="D70" s="12" t="n">
        <f aca="false">IF(D9=0,0,D16/D9)</f>
        <v>123.444444444444</v>
      </c>
      <c r="E70" s="12" t="n">
        <f aca="false">IF(E9=0,0,E16/E9)</f>
        <v>123.166666666667</v>
      </c>
      <c r="F70" s="12" t="n">
        <f aca="false">IF(F9=0,0,F16/F9)</f>
        <v>124</v>
      </c>
      <c r="G70" s="12" t="n">
        <f aca="false">IF(G9=0,0,G16/G9)</f>
        <v>123.705882352941</v>
      </c>
      <c r="H70" s="12" t="n">
        <f aca="false">IF(H9=0,0,H16/H9)</f>
        <v>123.223107569721</v>
      </c>
    </row>
    <row r="71" customFormat="false" ht="15" hidden="false" customHeight="false" outlineLevel="0" collapsed="false">
      <c r="A71" s="9" t="s">
        <v>190</v>
      </c>
      <c r="B71" s="29" t="n">
        <f aca="false">B30*Assumptions!C18</f>
        <v>34.95</v>
      </c>
      <c r="C71" s="29" t="n">
        <f aca="false">C30*Assumptions!C18</f>
        <v>104.85</v>
      </c>
      <c r="D71" s="29" t="n">
        <f aca="false">D30*Assumptions!C18</f>
        <v>209.7</v>
      </c>
      <c r="E71" s="29" t="n">
        <f aca="false">E30*Assumptions!C18</f>
        <v>349.5</v>
      </c>
      <c r="F71" s="29" t="n">
        <f aca="false">F30*Assumptions!C18</f>
        <v>524.25</v>
      </c>
      <c r="G71" s="29" t="n">
        <f aca="false">G30*Assumptions!C18</f>
        <v>733.95</v>
      </c>
      <c r="H71" s="29" t="n">
        <f aca="false">G71</f>
        <v>733.95</v>
      </c>
    </row>
    <row r="72" customFormat="false" ht="15" hidden="false" customHeight="false" outlineLevel="0" collapsed="false">
      <c r="A72" s="9" t="s">
        <v>191</v>
      </c>
      <c r="B72" s="26" t="n">
        <f aca="false">B40</f>
        <v>1</v>
      </c>
      <c r="C72" s="26" t="n">
        <f aca="false">B72+C40</f>
        <v>3</v>
      </c>
      <c r="D72" s="26" t="n">
        <f aca="false">C72+D40</f>
        <v>6</v>
      </c>
      <c r="E72" s="26" t="n">
        <f aca="false">D72+E40</f>
        <v>10</v>
      </c>
      <c r="F72" s="26" t="n">
        <f aca="false">E72+F40</f>
        <v>15</v>
      </c>
      <c r="G72" s="26" t="n">
        <f aca="false">F72+G40</f>
        <v>21</v>
      </c>
      <c r="H72" s="26" t="n">
        <f aca="false">G72</f>
        <v>21</v>
      </c>
    </row>
    <row r="73" customFormat="false" ht="15" hidden="false" customHeight="false" outlineLevel="0" collapsed="false">
      <c r="A73" s="9" t="s">
        <v>192</v>
      </c>
      <c r="B73" s="29" t="n">
        <f aca="false">B63</f>
        <v>826.62625</v>
      </c>
      <c r="C73" s="29" t="n">
        <f aca="false">C63</f>
        <v>1390.12875</v>
      </c>
      <c r="D73" s="29" t="n">
        <f aca="false">D63</f>
        <v>2037.7325</v>
      </c>
      <c r="E73" s="29" t="n">
        <f aca="false">E63</f>
        <v>2774.4625</v>
      </c>
      <c r="F73" s="29" t="n">
        <f aca="false">F63</f>
        <v>3360.16875</v>
      </c>
      <c r="G73" s="29" t="n">
        <f aca="false">G63</f>
        <v>4135.05125</v>
      </c>
      <c r="H73" s="29" t="n">
        <f aca="false">SUM(B73:G73)</f>
        <v>14524.17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2026-04-27T20:32:23Z</dcterms:created>
  <dc:creator>openpyxl</dc:creator>
  <dc:description/>
  <dc:language>en-US</dc:language>
  <cp:lastModifiedBy/>
  <dcterms:modified xsi:type="dcterms:W3CDTF">2026-04-27T20:32:23Z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