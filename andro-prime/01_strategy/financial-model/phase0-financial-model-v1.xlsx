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Overview" sheetId="1" state="visible" r:id="rId1"/>
    <sheet name="Assumptions" sheetId="2" state="visible" r:id="rId2"/>
    <sheet name="P&amp;L Planning (450)" sheetId="3" state="visible" r:id="rId3"/>
    <sheet name="P&amp;L Min (375)" sheetId="4" state="visible" r:id="rId4"/>
    <sheet name="P&amp;L Stretch (510)" sheetId="5" state="visible" r:id="rId5"/>
    <sheet name="12-Mo Projection" sheetId="6" state="visible" r:id="rId6"/>
    <sheet name="Sensitiv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£&quot;#,##0.00"/>
    <numFmt numFmtId="165" formatCode="0.0%"/>
    <numFmt numFmtId="166" formatCode="&quot;£&quot;#,##0"/>
    <numFmt numFmtId="167" formatCode="0.0"/>
    <numFmt numFmtId="168" formatCode="&quot;£&quot;+#,##0;&quot;£&quot;-#,##0;0"/>
    <numFmt numFmtId="169" formatCode="+&quot;£&quot;#,##0;-&quot;£&quot;#,##0;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b val="1"/>
      <color rgb="00FFFFFF"/>
      <sz val="12"/>
    </font>
    <font>
      <name val="Calibri"/>
      <b val="1"/>
      <sz val="11"/>
    </font>
    <font>
      <name val="Calibri"/>
      <i val="1"/>
      <color rgb="00808080"/>
      <sz val="9"/>
    </font>
    <font>
      <name val="Calibri"/>
      <sz val="10"/>
    </font>
    <font>
      <name val="Calibri"/>
      <color rgb="000070C0"/>
      <sz val="10"/>
    </font>
    <font>
      <name val="Calibri"/>
      <b val="1"/>
      <sz val="10"/>
    </font>
    <font>
      <b val="1"/>
      <color rgb="0000B050"/>
      <sz val="14"/>
    </font>
    <font>
      <b val="1"/>
      <color rgb="0000B05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0" pivotButton="0" quotePrefix="0" xfId="0"/>
    <xf numFmtId="0" fontId="3" fillId="3" borderId="0" applyAlignment="1" pivotButton="0" quotePrefix="0" xfId="0">
      <alignment vertical="top" wrapText="1"/>
    </xf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7" fillId="4" borderId="0" pivotButton="0" quotePrefix="0" xfId="0"/>
    <xf numFmtId="0" fontId="5" fillId="0" borderId="0" applyAlignment="1" pivotButton="0" quotePrefix="0" xfId="0">
      <alignment wrapText="1"/>
    </xf>
    <xf numFmtId="2" fontId="7" fillId="4" borderId="0" pivotButton="0" quotePrefix="0" xfId="0"/>
    <xf numFmtId="0" fontId="7" fillId="4" borderId="0" pivotButton="0" quotePrefix="0" xfId="0"/>
    <xf numFmtId="166" fontId="7" fillId="4" borderId="0" pivotButton="0" quotePrefix="0" xfId="0"/>
    <xf numFmtId="0" fontId="8" fillId="0" borderId="0" pivotButton="0" quotePrefix="0" xfId="0"/>
    <xf numFmtId="166" fontId="8" fillId="5" borderId="0" pivotButton="0" quotePrefix="0" xfId="0"/>
    <xf numFmtId="164" fontId="4" fillId="0" borderId="0" pivotButton="0" quotePrefix="0" xfId="0"/>
    <xf numFmtId="164" fontId="8" fillId="5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6" fontId="8" fillId="0" borderId="0" pivotButton="0" quotePrefix="0" xfId="0"/>
    <xf numFmtId="166" fontId="9" fillId="5" borderId="0" pivotButton="0" quotePrefix="0" xfId="0"/>
    <xf numFmtId="168" fontId="0" fillId="0" borderId="0" pivotButton="0" quotePrefix="0" xfId="0"/>
    <xf numFmtId="169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ANDRO PRIME — PHASE 0 FINANCIAL MODEL</t>
        </is>
      </c>
    </row>
    <row r="2" ht="18" customHeight="1">
      <c r="A2" s="2" t="inlineStr">
        <is>
          <t>v3 — Option 4 equal pacing — v2.3 affiliate stack — non-cash FM list</t>
        </is>
      </c>
    </row>
    <row r="4" ht="22" customHeight="1">
      <c r="A4" s="3" t="inlineStr">
        <is>
          <t>Version</t>
        </is>
      </c>
      <c r="B4" s="4" t="inlineStr">
        <is>
          <t>v3 (rerun 2026-05-12)</t>
        </is>
      </c>
    </row>
    <row r="5" ht="22" customHeight="1">
      <c r="A5" s="3" t="inlineStr">
        <is>
          <t>Owner</t>
        </is>
      </c>
      <c r="B5" s="4" t="inlineStr">
        <is>
          <t>Keith Antony</t>
        </is>
      </c>
    </row>
    <row r="6" ht="22" customHeight="1">
      <c r="A6" s="3" t="inlineStr">
        <is>
          <t>Source</t>
        </is>
      </c>
      <c r="B6" s="4" t="inlineStr">
        <is>
          <t>01_strategy/financial-model/option-4-financial-model-2026-05-08.md</t>
        </is>
      </c>
    </row>
    <row r="7" ht="22" customHeight="1">
      <c r="A7" s="3" t="inlineStr">
        <is>
          <t>Scope</t>
        </is>
      </c>
      <c r="B7" s="4" t="inlineStr">
        <is>
          <t>Non-regulated wellness tier only (kits + supplements). Excludes TRT/clinical.</t>
        </is>
      </c>
    </row>
    <row r="8" ht="22" customHeight="1">
      <c r="A8" s="3" t="inlineStr">
        <is>
          <t>Lab partner</t>
        </is>
      </c>
      <c r="B8" s="4" t="inlineStr">
        <is>
          <t>Vitall (confirmed 2026-05-01)</t>
        </is>
      </c>
    </row>
    <row r="9" ht="22" customHeight="1">
      <c r="A9" s="3" t="inlineStr">
        <is>
          <t>Launch capital</t>
        </is>
      </c>
      <c r="B9" s="4" t="inlineStr">
        <is>
          <t>£0 (all costs in per-kit COGS)</t>
        </is>
      </c>
    </row>
    <row r="10" ht="22" customHeight="1">
      <c r="A10" s="3" t="inlineStr">
        <is>
          <t>Paid media</t>
        </is>
      </c>
      <c r="B10" s="4" t="inlineStr">
        <is>
          <t>£0 in Phase 0 (organic + affiliate only)</t>
        </is>
      </c>
    </row>
    <row r="11" ht="22" customHeight="1">
      <c r="A11" s="3" t="inlineStr">
        <is>
          <t>Affiliate model</t>
        </is>
      </c>
      <c r="B11" s="4" t="inlineStr">
        <is>
          <t>v2.3: £15 flat per kit + £10 Kit 3 upsell + £10 supp-conv + £200 Silver / £400 Gold PT graduation. Customer 10% off via PT code. 50/50 affiliate/direct split.</t>
        </is>
      </c>
    </row>
    <row r="12" ht="22" customHeight="1">
      <c r="A12" s="3" t="inlineStr">
        <is>
          <t>FM mechanic</t>
        </is>
      </c>
      <c r="B12" s="4" t="inlineStr">
        <is>
          <t>Non-cash email opt-in (£75 cash deposit shelved 2026-05-08)</t>
        </is>
      </c>
    </row>
    <row r="13" ht="22" customHeight="1">
      <c r="A13" s="3" t="inlineStr">
        <is>
          <t>Phase 0 architecture</t>
        </is>
      </c>
      <c r="B13" s="4" t="inlineStr">
        <is>
          <t>Option 4 — kit-led entry → result → supplement subscription. Kit 1 + Kit 2 equal pacing (40/40/20).</t>
        </is>
      </c>
    </row>
    <row r="14" ht="22" customHeight="1">
      <c r="A14" s="3" t="inlineStr">
        <is>
          <t>Dispatch SLA</t>
        </is>
      </c>
      <c r="B14" s="4" t="inlineStr">
        <is>
          <t>48 hours (locked 2026-05-12 — pending written confirmation from Vitall)</t>
        </is>
      </c>
    </row>
    <row r="15" ht="22" customHeight="1">
      <c r="A15" s="3" t="n"/>
      <c r="B15" s="4" t="n"/>
    </row>
    <row r="16" ht="22" customHeight="1">
      <c r="A16" s="5" t="inlineStr">
        <is>
          <t>HEADLINE OUTPUTS (Planning Case)</t>
        </is>
      </c>
      <c r="B16" s="6" t="n"/>
    </row>
    <row r="17" ht="22" customHeight="1">
      <c r="A17" s="3" t="n"/>
      <c r="B17" s="4" t="n"/>
    </row>
    <row r="18" ht="22" customHeight="1">
      <c r="A18" s="3" t="inlineStr">
        <is>
          <t>6-month net contribution</t>
        </is>
      </c>
      <c r="B18" s="4" t="inlineStr">
        <is>
          <t>+£4,315</t>
        </is>
      </c>
    </row>
    <row r="19" ht="22" customHeight="1">
      <c r="A19" s="3" t="inlineStr">
        <is>
          <t>M6 cash position (P&amp;L)</t>
        </is>
      </c>
      <c r="B19" s="4" t="inlineStr">
        <is>
          <t>+£4,315</t>
        </is>
      </c>
    </row>
    <row r="20" ht="22" customHeight="1">
      <c r="A20" s="3" t="inlineStr">
        <is>
          <t>12-month cumulative cash</t>
        </is>
      </c>
      <c r="B20" s="4" t="inlineStr">
        <is>
          <t>~+£39,246</t>
        </is>
      </c>
    </row>
    <row r="21" ht="22" customHeight="1">
      <c r="A21" s="3" t="inlineStr">
        <is>
          <t>M12 vs £30k target</t>
        </is>
      </c>
      <c r="B21" s="4" t="inlineStr">
        <is>
          <t>+31% headroom (target comfortably reached)</t>
        </is>
      </c>
    </row>
    <row r="22" ht="22" customHeight="1">
      <c r="A22" s="3" t="inlineStr">
        <is>
          <t>6-mo Min / Plan / Stretch net</t>
        </is>
      </c>
      <c r="B22" s="4" t="inlineStr">
        <is>
          <t>+£811 / +£4,315 / +£7,164</t>
        </is>
      </c>
    </row>
    <row r="24">
      <c r="A24" s="7" t="inlineStr">
        <is>
          <t>KEY ASSUMPTIONS (full set on Assumptions sheet)</t>
        </is>
      </c>
      <c r="B24" s="7" t="n"/>
    </row>
    <row r="26">
      <c r="A26" s="3" t="inlineStr">
        <is>
          <t>Volume mix (K1/K2/K3)</t>
        </is>
      </c>
      <c r="B26" t="inlineStr">
        <is>
          <t>40/40/20</t>
        </is>
      </c>
    </row>
    <row r="27">
      <c r="A27" s="3" t="inlineStr">
        <is>
          <t>Planning kits over 6 months</t>
        </is>
      </c>
      <c r="B27" t="inlineStr">
        <is>
          <t>450 (180/180/90)</t>
        </is>
      </c>
    </row>
    <row r="28">
      <c r="A28" s="3" t="inlineStr">
        <is>
          <t>Affiliate mix</t>
        </is>
      </c>
      <c r="B28" t="inlineStr">
        <is>
          <t>50/50 direct / PT-coded</t>
        </is>
      </c>
    </row>
    <row r="29">
      <c r="A29" s="3" t="inlineStr">
        <is>
          <t>Customer discount (PT code)</t>
        </is>
      </c>
      <c r="B29" t="inlineStr">
        <is>
          <t>10%</t>
        </is>
      </c>
    </row>
    <row r="30">
      <c r="A30" s="3" t="inlineStr">
        <is>
          <t>Daily Stack subscription</t>
        </is>
      </c>
      <c r="B30" t="inlineStr">
        <is>
          <t>£34.95/mo, COGS £12 (planning midpoint)</t>
        </is>
      </c>
    </row>
    <row r="31">
      <c r="A31" s="3" t="inlineStr">
        <is>
          <t>Daily Stack conversion (all kits)</t>
        </is>
      </c>
      <c r="B31" t="inlineStr">
        <is>
          <t>15% (planning); sensitivity 8% / 22%</t>
        </is>
      </c>
    </row>
    <row r="32">
      <c r="A32" s="3" t="inlineStr">
        <is>
          <t>Daily Stack tenure (planning)</t>
        </is>
      </c>
      <c r="B32" t="inlineStr">
        <is>
          <t>4 months (largest swing variable; sensitivity 3 / 6 / 12)</t>
        </is>
      </c>
    </row>
    <row r="33">
      <c r="A33" s="3" t="inlineStr">
        <is>
          <t>Collagen conversion (Kit 2 only)</t>
        </is>
      </c>
      <c r="B33" t="inlineStr">
        <is>
          <t>15%</t>
        </is>
      </c>
    </row>
    <row r="34">
      <c r="A34" s="3" t="inlineStr">
        <is>
          <t>Fixed monthly overhead</t>
        </is>
      </c>
      <c r="B34" t="inlineStr">
        <is>
          <t>£593/mo (v72 canonical)</t>
        </is>
      </c>
    </row>
    <row r="36">
      <c r="A36" s="7" t="inlineStr">
        <is>
          <t>WHAT CHANGED FROM v2 (PROVENANCE)</t>
        </is>
      </c>
      <c r="B36" s="7" t="n"/>
    </row>
    <row r="38" ht="32" customHeight="1">
      <c r="A38" s="3" t="inlineStr">
        <is>
          <t>Affiliate stack</t>
        </is>
      </c>
      <c r="B38" s="4" t="inlineStr">
        <is>
          <t>v2.2 percentage commissions and £10 first-month bonus + monthly tier retention → v2.3 right-sized: £15 flat + £10 Kit 3 + £10 supp-conv + £200/£400 PT graduation</t>
        </is>
      </c>
    </row>
    <row r="39" ht="32" customHeight="1">
      <c r="A39" s="3" t="inlineStr">
        <is>
          <t>Daily Stack COGS</t>
        </is>
      </c>
      <c r="B39" s="4" t="inlineStr">
        <is>
          <t>£15 → £12 (manufacturer brief midpoint reconciled 2026-05-08)</t>
        </is>
      </c>
    </row>
    <row r="40" ht="32" customHeight="1">
      <c r="A40" s="3" t="inlineStr">
        <is>
          <t>Volume mix</t>
        </is>
      </c>
      <c r="B40" s="4" t="inlineStr">
        <is>
          <t>"Kit 2 leads" → Option 4 equal pacing 40/40/20 (locked 2026-05-08)</t>
        </is>
      </c>
    </row>
    <row r="41" ht="32" customHeight="1">
      <c r="A41" s="3" t="inlineStr">
        <is>
          <t>FM cash deposit</t>
        </is>
      </c>
      <c r="B41" s="4" t="inlineStr">
        <is>
          <t>£75 deposit shelved 2026-05-08. "Deposit Revenue" row REMOVED from P&amp;L. FM continues as non-cash list.</t>
        </is>
      </c>
    </row>
    <row r="42" ht="32" customHeight="1">
      <c r="A42" s="3" t="inlineStr">
        <is>
          <t>PT programme cost</t>
        </is>
      </c>
      <c r="B42" s="4" t="inlineStr">
        <is>
          <t>v2 visible OpEx £15,950 (hidden flagship retainer + gym kits) → v2.3 visible £13,240, no hidden lines</t>
        </is>
      </c>
    </row>
    <row r="43" ht="32" customHeight="1">
      <c r="A43" s="3" t="inlineStr">
        <is>
          <t>M12 cash target</t>
        </is>
      </c>
      <c r="B43" s="4" t="inlineStr">
        <is>
          <t>v2: "roughly cash-neutral" → v3: £30k by M12 comfortably reachable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</cols>
  <sheetData>
    <row r="1" ht="26" customHeight="1">
      <c r="A1" s="1" t="inlineStr">
        <is>
          <t>ASSUMPTIONS &amp; UNIT ECONOMICS — v2.3</t>
        </is>
      </c>
    </row>
    <row r="2">
      <c r="A2" s="8" t="inlineStr">
        <is>
          <t>Yellow cells are editable inputs. Formulas in white cells recompute.</t>
        </is>
      </c>
    </row>
    <row r="4">
      <c r="A4" s="7" t="inlineStr">
        <is>
          <t>KIT UNIT ECONOMICS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t="inlineStr"/>
      <c r="B5" s="3" t="inlineStr">
        <is>
          <t>COGS (Vitall)</t>
        </is>
      </c>
      <c r="C5" s="3" t="inlineStr">
        <is>
          <t>Retail (RRP)</t>
        </is>
      </c>
      <c r="D5" s="3" t="inlineStr">
        <is>
          <t>PT-coded (10% off)</t>
        </is>
      </c>
      <c r="E5" s="3" t="inlineStr">
        <is>
          <t>Gross Margin £</t>
        </is>
      </c>
      <c r="F5" s="3" t="inlineStr">
        <is>
          <t>Gross Margin %</t>
        </is>
      </c>
    </row>
    <row r="6">
      <c r="A6" s="9" t="inlineStr">
        <is>
          <t>Kit 1 — Testosterone Health Check</t>
        </is>
      </c>
      <c r="B6" s="10" t="n">
        <v>58.5</v>
      </c>
      <c r="C6" s="10" t="n">
        <v>99</v>
      </c>
      <c r="D6" s="10" t="n">
        <v>89.09999999999999</v>
      </c>
      <c r="E6" s="11">
        <f>C6-B6</f>
        <v/>
      </c>
      <c r="F6" s="12">
        <f>E6/C6</f>
        <v/>
      </c>
    </row>
    <row r="7">
      <c r="A7" s="9" t="inlineStr">
        <is>
          <t>Kit 2 — Energy &amp; Recovery Check</t>
        </is>
      </c>
      <c r="B7" s="10" t="n">
        <v>63</v>
      </c>
      <c r="C7" s="10" t="n">
        <v>119</v>
      </c>
      <c r="D7" s="10" t="n">
        <v>107.1</v>
      </c>
      <c r="E7" s="11">
        <f>C7-B7</f>
        <v/>
      </c>
      <c r="F7" s="12">
        <f>E7/C7</f>
        <v/>
      </c>
    </row>
    <row r="8">
      <c r="A8" s="9" t="inlineStr">
        <is>
          <t>Kit 3 — Hormone &amp; Recovery Check</t>
        </is>
      </c>
      <c r="B8" s="10" t="n">
        <v>98</v>
      </c>
      <c r="C8" s="10" t="n">
        <v>179</v>
      </c>
      <c r="D8" s="10" t="n">
        <v>161.1</v>
      </c>
      <c r="E8" s="11">
        <f>C8-B8</f>
        <v/>
      </c>
      <c r="F8" s="12">
        <f>E8/C8</f>
        <v/>
      </c>
    </row>
    <row r="10">
      <c r="A10" s="7" t="inlineStr">
        <is>
          <t>KIT PANELS (Vitall finger-prick)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3" t="inlineStr">
        <is>
          <t>Kit 1</t>
        </is>
      </c>
      <c r="B11" t="inlineStr">
        <is>
          <t>Total T, SHBG, Albumin, Free T (calculated), FAI</t>
        </is>
      </c>
    </row>
    <row r="12">
      <c r="A12" s="3" t="inlineStr">
        <is>
          <t>Kit 2</t>
        </is>
      </c>
      <c r="B12" t="inlineStr">
        <is>
          <t>Vitamin D, Active B12, hs-CRP, Ferritin</t>
        </is>
      </c>
    </row>
    <row r="13">
      <c r="A13" s="3" t="inlineStr">
        <is>
          <t>Kit 3</t>
        </is>
      </c>
      <c r="B13" t="inlineStr">
        <is>
          <t>All Kit 1 + Kit 2 markers (9 total)</t>
        </is>
      </c>
    </row>
    <row r="15">
      <c r="A15" s="7" t="inlineStr">
        <is>
          <t>SUPPLEMENT UNIT ECONOMICS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t="inlineStr"/>
      <c r="B16" s="3" t="inlineStr">
        <is>
          <t>COGS</t>
        </is>
      </c>
      <c r="C16" s="3" t="inlineStr">
        <is>
          <t>Sub price /mo</t>
        </is>
      </c>
      <c r="D16" s="3" t="inlineStr">
        <is>
          <t>Gross Margin £</t>
        </is>
      </c>
      <c r="E16" s="3" t="inlineStr">
        <is>
          <t>Margin %</t>
        </is>
      </c>
    </row>
    <row r="17">
      <c r="A17" s="9" t="inlineStr">
        <is>
          <t>Daily Stack</t>
        </is>
      </c>
      <c r="B17" s="10" t="n">
        <v>12</v>
      </c>
      <c r="C17" s="10" t="n">
        <v>34.95</v>
      </c>
      <c r="D17" s="11">
        <f>C17-B17</f>
        <v/>
      </c>
      <c r="E17" s="12">
        <f>D17/C17</f>
        <v/>
      </c>
    </row>
    <row r="18">
      <c r="A18" s="9" t="inlineStr">
        <is>
          <t>Joint &amp; Recovery Collagen</t>
        </is>
      </c>
      <c r="B18" s="10" t="n">
        <v>13</v>
      </c>
      <c r="C18" s="10" t="n">
        <v>29.95</v>
      </c>
      <c r="D18" s="11">
        <f>C18-B18</f>
        <v/>
      </c>
      <c r="E18" s="12">
        <f>D18/C18</f>
        <v/>
      </c>
    </row>
    <row r="19">
      <c r="A19" s="9" t="inlineStr">
        <is>
          <t>Complete Stack (D.S.+Coll.)</t>
        </is>
      </c>
      <c r="B19" s="11">
        <f>B17+B18</f>
        <v/>
      </c>
      <c r="C19" s="10" t="n">
        <v>54.95</v>
      </c>
      <c r="D19" s="11">
        <f>C19-B19</f>
        <v/>
      </c>
      <c r="E19" s="12">
        <f>D19/C19</f>
        <v/>
      </c>
    </row>
    <row r="20">
      <c r="A20" s="8" t="inlineStr">
        <is>
          <t>Daily Stack COGS reconciled to £12 (manufacturer brief midpoint of £11–13 range, locked 2026-05-08; was £15 in v1)</t>
        </is>
      </c>
    </row>
    <row r="22">
      <c r="A22" s="7" t="inlineStr">
        <is>
          <t>OPERATING ASSUMPTIONS (v2.3)</t>
        </is>
      </c>
      <c r="B22" s="7" t="n"/>
      <c r="C22" s="7" t="n"/>
      <c r="D22" s="7" t="n"/>
      <c r="E22" s="7" t="n"/>
      <c r="F22" s="7" t="n"/>
      <c r="G22" s="7" t="n"/>
      <c r="H22" s="7" t="n"/>
    </row>
    <row r="24">
      <c r="A24" s="9" t="inlineStr">
        <is>
          <t>Payment processing (Stripe)</t>
        </is>
      </c>
      <c r="B24" s="13" t="n">
        <v>0.025</v>
      </c>
      <c r="C24" s="14" t="inlineStr">
        <is>
          <t>2.5% of gross</t>
        </is>
      </c>
    </row>
    <row r="25">
      <c r="A25" s="9" t="inlineStr">
        <is>
          <t>Affiliate base fee per referred kit</t>
        </is>
      </c>
      <c r="B25" s="10" t="n">
        <v>15</v>
      </c>
      <c r="C25" s="14" t="inlineStr">
        <is>
          <t>Flat £15</t>
        </is>
      </c>
    </row>
    <row r="26">
      <c r="A26" s="9" t="inlineStr">
        <is>
          <t>Affiliate Kit 3 upsell bonus</t>
        </is>
      </c>
      <c r="B26" s="10" t="n">
        <v>10</v>
      </c>
      <c r="C26" s="14" t="inlineStr">
        <is>
          <t>Standard £10 (was £20 flagship — dropped in v2.3)</t>
        </is>
      </c>
    </row>
    <row r="27">
      <c r="A27" s="9" t="inlineStr">
        <is>
          <t>Affiliate supplement-conversion bonus</t>
        </is>
      </c>
      <c r="B27" s="10" t="n">
        <v>10</v>
      </c>
      <c r="C27" s="14" t="inlineStr">
        <is>
          <t>Paid on referred Daily Stack signup</t>
        </is>
      </c>
    </row>
    <row r="28">
      <c r="A28" s="9" t="inlineStr">
        <is>
          <t>Affiliate first-month bonus</t>
        </is>
      </c>
      <c r="B28" s="15" t="n">
        <v>0</v>
      </c>
      <c r="C28" s="14" t="inlineStr">
        <is>
          <t>DROPPED in v2.3</t>
        </is>
      </c>
    </row>
    <row r="29">
      <c r="A29" s="9" t="inlineStr">
        <is>
          <t>Customer 10% discount (via PT code)</t>
        </is>
      </c>
      <c r="B29" s="13" t="n">
        <v>0.1</v>
      </c>
      <c r="C29" s="14" t="inlineStr">
        <is>
          <t>Baked into PT-coded retail above</t>
        </is>
      </c>
    </row>
    <row r="30">
      <c r="A30" s="9" t="inlineStr">
        <is>
          <t>Affiliate sales mix (% PT-coded)</t>
        </is>
      </c>
      <c r="B30" s="13" t="n">
        <v>0.5</v>
      </c>
      <c r="C30" s="14" t="inlineStr">
        <is>
          <t>50/50 direct/PT-coded</t>
        </is>
      </c>
    </row>
    <row r="31">
      <c r="A31" s="9" t="inlineStr">
        <is>
          <t>Kit → Daily Stack conversion (all kits)</t>
        </is>
      </c>
      <c r="B31" s="13" t="n">
        <v>0.15</v>
      </c>
      <c r="C31" s="14" t="inlineStr">
        <is>
          <t>Planning. Sensitivity 8% / 22%</t>
        </is>
      </c>
    </row>
    <row r="32">
      <c r="A32" s="9" t="inlineStr">
        <is>
          <t>Kit 2 → Collagen conversion</t>
        </is>
      </c>
      <c r="B32" s="13" t="n">
        <v>0.15</v>
      </c>
      <c r="C32" s="14" t="inlineStr">
        <is>
          <t>Planning. Kit 2 only</t>
        </is>
      </c>
    </row>
    <row r="33">
      <c r="A33" s="9" t="inlineStr">
        <is>
          <t>Daily Stack subscriber tenure (months)</t>
        </is>
      </c>
      <c r="B33" s="10" t="n">
        <v>4</v>
      </c>
      <c r="C33" s="14" t="inlineStr">
        <is>
          <t>Planning case midpoint between 3-mo industry benchmark and Gate 0C target. LARGEST SWING VARIABLE.</t>
        </is>
      </c>
    </row>
    <row r="34">
      <c r="A34" s="9" t="inlineStr">
        <is>
          <t>Collagen tenure (months)</t>
        </is>
      </c>
      <c r="B34" s="10" t="n">
        <v>4</v>
      </c>
      <c r="C34" s="14" t="inlineStr">
        <is>
          <t>Matches Daily Stack assumption</t>
        </is>
      </c>
    </row>
    <row r="35">
      <c r="A35" s="9" t="inlineStr">
        <is>
          <t>Kit 1 + Kit 3 low-T base rate</t>
        </is>
      </c>
      <c r="B35" s="13" t="n">
        <v>0.3</v>
      </c>
      <c r="C35" s="14" t="inlineStr">
        <is>
          <t>T&lt;12 nmol/L — planning case</t>
        </is>
      </c>
    </row>
    <row r="36">
      <c r="A36" s="9" t="inlineStr">
        <is>
          <t>FM list opt-in conversion (of low-T)</t>
        </is>
      </c>
      <c r="B36" s="13" t="n">
        <v>0.3</v>
      </c>
      <c r="C36" s="14" t="inlineStr">
        <is>
          <t>Non-cash opt-in — replaces v2's 30% deposit conversion</t>
        </is>
      </c>
    </row>
    <row r="37">
      <c r="A37" s="9" t="inlineStr">
        <is>
          <t>Elective FM opt-in (normal-T cohort)</t>
        </is>
      </c>
      <c r="B37" s="13" t="n">
        <v>0.05</v>
      </c>
      <c r="C37" s="14" t="inlineStr">
        <is>
          <t>5% planning case</t>
        </is>
      </c>
    </row>
    <row r="40">
      <c r="A40" s="7" t="inlineStr">
        <is>
          <t>VOLUMES — OPTION 4 EQUAL PACING (40/40/20)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t="inlineStr">
        <is>
          <t>Scenario</t>
        </is>
      </c>
      <c r="B41" s="3" t="inlineStr">
        <is>
          <t>Total 6mo</t>
        </is>
      </c>
      <c r="C41" s="3" t="inlineStr">
        <is>
          <t>Kit 1</t>
        </is>
      </c>
      <c r="D41" s="3" t="inlineStr">
        <is>
          <t>Kit 2</t>
        </is>
      </c>
      <c r="E41" s="3" t="inlineStr">
        <is>
          <t>Kit 3</t>
        </is>
      </c>
    </row>
    <row r="42">
      <c r="A42" t="inlineStr">
        <is>
          <t>Minimum</t>
        </is>
      </c>
      <c r="B42" s="16" t="n">
        <v>375</v>
      </c>
      <c r="C42" s="16" t="n">
        <v>150</v>
      </c>
      <c r="D42" s="16" t="n">
        <v>150</v>
      </c>
      <c r="E42" s="16" t="n">
        <v>75</v>
      </c>
    </row>
    <row r="43">
      <c r="A43" t="inlineStr">
        <is>
          <t>Planning</t>
        </is>
      </c>
      <c r="B43" s="16" t="n">
        <v>450</v>
      </c>
      <c r="C43" s="16" t="n">
        <v>180</v>
      </c>
      <c r="D43" s="16" t="n">
        <v>180</v>
      </c>
      <c r="E43" s="16" t="n">
        <v>90</v>
      </c>
    </row>
    <row r="44">
      <c r="A44" t="inlineStr">
        <is>
          <t>Stretch</t>
        </is>
      </c>
      <c r="B44" s="16" t="n">
        <v>510</v>
      </c>
      <c r="C44" s="16" t="n">
        <v>204</v>
      </c>
      <c r="D44" s="16" t="n">
        <v>204</v>
      </c>
      <c r="E44" s="16" t="n">
        <v>102</v>
      </c>
    </row>
    <row r="46">
      <c r="A46" s="7" t="inlineStr">
        <is>
          <t>MONTHLY RAMP (Planning, total kits/month)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t="inlineStr">
        <is>
          <t>Month</t>
        </is>
      </c>
      <c r="B47" s="3" t="inlineStr">
        <is>
          <t>M1</t>
        </is>
      </c>
      <c r="C47" s="3" t="inlineStr">
        <is>
          <t>M2</t>
        </is>
      </c>
      <c r="D47" s="3" t="inlineStr">
        <is>
          <t>M3</t>
        </is>
      </c>
      <c r="E47" s="3" t="inlineStr">
        <is>
          <t>M4</t>
        </is>
      </c>
      <c r="F47" s="3" t="inlineStr">
        <is>
          <t>M5</t>
        </is>
      </c>
      <c r="G47" s="3" t="inlineStr">
        <is>
          <t>M6</t>
        </is>
      </c>
      <c r="H47" s="3" t="inlineStr">
        <is>
          <t>M7</t>
        </is>
      </c>
      <c r="I47" s="3" t="inlineStr">
        <is>
          <t>M8</t>
        </is>
      </c>
      <c r="J47" s="3" t="inlineStr">
        <is>
          <t>M9</t>
        </is>
      </c>
      <c r="K47" s="3" t="inlineStr">
        <is>
          <t>M10</t>
        </is>
      </c>
      <c r="L47" s="3" t="inlineStr">
        <is>
          <t>M11</t>
        </is>
      </c>
      <c r="M47" s="3" t="inlineStr">
        <is>
          <t>M12</t>
        </is>
      </c>
    </row>
    <row r="48">
      <c r="A48" t="inlineStr">
        <is>
          <t>Min (375 / extrap.)</t>
        </is>
      </c>
      <c r="B48" s="16" t="n">
        <v>20</v>
      </c>
      <c r="C48" s="16" t="n">
        <v>35</v>
      </c>
      <c r="D48" s="16" t="n">
        <v>55</v>
      </c>
      <c r="E48" s="16" t="n">
        <v>75</v>
      </c>
      <c r="F48" s="16" t="n">
        <v>90</v>
      </c>
      <c r="G48" s="16" t="n">
        <v>100</v>
      </c>
      <c r="H48" s="16" t="n">
        <v>108</v>
      </c>
      <c r="I48" s="16" t="n">
        <v>116</v>
      </c>
      <c r="J48" s="16" t="n">
        <v>124</v>
      </c>
      <c r="K48" s="16" t="n">
        <v>132</v>
      </c>
      <c r="L48" s="16" t="n">
        <v>140</v>
      </c>
      <c r="M48" s="16" t="n">
        <v>148</v>
      </c>
    </row>
    <row r="49">
      <c r="A49" t="inlineStr">
        <is>
          <t>Planning (450 → 1,380 12-mo)</t>
        </is>
      </c>
      <c r="B49" s="16" t="n">
        <v>24</v>
      </c>
      <c r="C49" s="16" t="n">
        <v>42</v>
      </c>
      <c r="D49" s="16" t="n">
        <v>66</v>
      </c>
      <c r="E49" s="16" t="n">
        <v>90</v>
      </c>
      <c r="F49" s="16" t="n">
        <v>108</v>
      </c>
      <c r="G49" s="16" t="n">
        <v>120</v>
      </c>
      <c r="H49" s="16" t="n">
        <v>130</v>
      </c>
      <c r="I49" s="16" t="n">
        <v>140</v>
      </c>
      <c r="J49" s="16" t="n">
        <v>150</v>
      </c>
      <c r="K49" s="16" t="n">
        <v>160</v>
      </c>
      <c r="L49" s="16" t="n">
        <v>170</v>
      </c>
      <c r="M49" s="16" t="n">
        <v>180</v>
      </c>
    </row>
    <row r="50">
      <c r="A50" t="inlineStr">
        <is>
          <t>Stretch (510 → extrap.)</t>
        </is>
      </c>
      <c r="B50" s="16" t="n">
        <v>27</v>
      </c>
      <c r="C50" s="16" t="n">
        <v>48</v>
      </c>
      <c r="D50" s="16" t="n">
        <v>75</v>
      </c>
      <c r="E50" s="16" t="n">
        <v>102</v>
      </c>
      <c r="F50" s="16" t="n">
        <v>122</v>
      </c>
      <c r="G50" s="16" t="n">
        <v>136</v>
      </c>
      <c r="H50" s="16" t="n">
        <v>146</v>
      </c>
      <c r="I50" s="16" t="n">
        <v>158</v>
      </c>
      <c r="J50" s="16" t="n">
        <v>170</v>
      </c>
      <c r="K50" s="16" t="n">
        <v>182</v>
      </c>
      <c r="L50" s="16" t="n">
        <v>193</v>
      </c>
      <c r="M50" s="16" t="n">
        <v>204</v>
      </c>
    </row>
    <row r="52">
      <c r="A52" s="7" t="inlineStr">
        <is>
          <t>MONTHLY OVERHEAD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9" t="inlineStr">
        <is>
          <t>Domain + SSL</t>
        </is>
      </c>
      <c r="B53" s="17" t="n">
        <v>5</v>
      </c>
    </row>
    <row r="54">
      <c r="A54" s="9" t="inlineStr">
        <is>
          <t>Phone / comms</t>
        </is>
      </c>
      <c r="B54" s="17" t="n">
        <v>30</v>
      </c>
    </row>
    <row r="55">
      <c r="A55" s="9" t="inlineStr">
        <is>
          <t>Bookkeeping (self-managed initially)</t>
        </is>
      </c>
      <c r="B55" s="17" t="n">
        <v>0</v>
      </c>
    </row>
    <row r="56">
      <c r="A56" s="9" t="inlineStr">
        <is>
          <t>Insurance + product liability</t>
        </is>
      </c>
      <c r="B56" s="17" t="n">
        <v>200</v>
      </c>
    </row>
    <row r="57">
      <c r="A57" s="9" t="inlineStr">
        <is>
          <t>Misc / contingency</t>
        </is>
      </c>
      <c r="B57" s="17" t="n">
        <v>50</v>
      </c>
    </row>
    <row r="58">
      <c r="A58" s="9" t="inlineStr">
        <is>
          <t>ICO fee (annualised)</t>
        </is>
      </c>
      <c r="B58" s="17" t="n">
        <v>3</v>
      </c>
    </row>
    <row r="59">
      <c r="A59" s="9" t="inlineStr">
        <is>
          <t>Cloud + hosting</t>
        </is>
      </c>
      <c r="B59" s="17" t="n">
        <v>50</v>
      </c>
    </row>
    <row r="60">
      <c r="A60" s="9" t="inlineStr">
        <is>
          <t>Tools (Customer.io, Supabase, Stripe processing already netted)</t>
        </is>
      </c>
      <c r="B60" s="17" t="n">
        <v>100</v>
      </c>
    </row>
    <row r="61">
      <c r="A61" s="9" t="inlineStr">
        <is>
          <t>Reserve for legal / accounting</t>
        </is>
      </c>
      <c r="B61" s="17" t="n">
        <v>155</v>
      </c>
    </row>
    <row r="62">
      <c r="A62" s="18" t="inlineStr">
        <is>
          <t>TOTAL MONTHLY OVERHEAD (v72 canonical = £593)</t>
        </is>
      </c>
      <c r="B62" s="19">
        <f>SUM(B53:B61)</f>
        <v/>
      </c>
    </row>
    <row r="64">
      <c r="A64" s="7" t="inlineStr">
        <is>
          <t>PT PROGRAMME COSTS — v2.3 (6-month totals)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9" t="inlineStr">
        <is>
          <t>Free kits (5 flagship K3 + 20 first-wave K2)</t>
        </is>
      </c>
      <c r="B65" s="17" t="n">
        <v>1750</v>
      </c>
      <c r="C65" s="8" t="inlineStr">
        <is>
          <t>M1 only (front-loaded)</t>
        </is>
      </c>
    </row>
    <row r="66">
      <c r="A66" s="9" t="inlineStr">
        <is>
          <t>FirstPromoter + assets</t>
        </is>
      </c>
      <c r="B66" s="17" t="n">
        <v>1200</v>
      </c>
      <c r="C66" s="8" t="inlineStr">
        <is>
          <t>£200/mo flat</t>
        </is>
      </c>
    </row>
    <row r="67">
      <c r="A67" s="9" t="inlineStr">
        <is>
          <t>PT bonuses + contests</t>
        </is>
      </c>
      <c r="B67" s="17" t="n">
        <v>4000</v>
      </c>
      <c r="C67" s="8" t="inlineStr">
        <is>
          <t>Quarterly £1,000 (M3, M6) + annual £2,000 (M6)</t>
        </is>
      </c>
    </row>
    <row r="68">
      <c r="A68" s="9" t="inlineStr">
        <is>
          <t>PT tier graduation bonuses (one-off)</t>
        </is>
      </c>
      <c r="B68" s="17" t="n">
        <v>1400</v>
      </c>
      <c r="C68" s="8" t="inlineStr">
        <is>
          <t>3 Silver £200 + 2 Gold £400 (M4–M6)</t>
        </is>
      </c>
    </row>
    <row r="69">
      <c r="A69" s="9" t="inlineStr">
        <is>
          <t>Flagship per-piece content payments</t>
        </is>
      </c>
      <c r="B69" s="17" t="n">
        <v>3000</v>
      </c>
      <c r="C69" s="8" t="inlineStr">
        <is>
          <t>£500/mo flat (5 PTs × £100/piece)</t>
        </is>
      </c>
    </row>
    <row r="70">
      <c r="A70" s="9" t="inlineStr">
        <is>
          <t>Gym partnership free kits (3 × 10 gyms × £63)</t>
        </is>
      </c>
      <c r="B70" s="17" t="n">
        <v>1890</v>
      </c>
      <c r="C70" s="8" t="inlineStr">
        <is>
          <t>Phased M1–M3 (~£630/mo)</t>
        </is>
      </c>
    </row>
    <row r="71">
      <c r="A71" s="18" t="inlineStr">
        <is>
          <t>TOTAL PROGRAMME OPEX 6-MO</t>
        </is>
      </c>
      <c r="B71" s="19">
        <f>SUM(B65:B70)</f>
        <v/>
      </c>
    </row>
    <row r="73">
      <c r="A73" s="7" t="inlineStr">
        <is>
          <t>BLENDED KIT NET PER UNIT (v2.3)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3" t="inlineStr">
        <is>
          <t>Direct net per kit</t>
        </is>
      </c>
      <c r="B74" s="20">
        <f>C6*(1-B24)-B6</f>
        <v/>
      </c>
      <c r="C74" s="20">
        <f>C7*(1-B24)-B7</f>
        <v/>
      </c>
      <c r="D74" s="20">
        <f>C8*(1-B24)-B8</f>
        <v/>
      </c>
    </row>
    <row r="75">
      <c r="A75" s="3" t="inlineStr">
        <is>
          <t>Affiliate net per kit (base+bonus, after 10% disc)</t>
        </is>
      </c>
      <c r="B75" s="11">
        <f>D6*(1-B24)-B25-B6</f>
        <v/>
      </c>
      <c r="C75" s="11">
        <f>D7*(1-B24)-B25-B7</f>
        <v/>
      </c>
      <c r="D75" s="11">
        <f>D8*(1-B24)-B25-B26-B8</f>
        <v/>
      </c>
    </row>
    <row r="76">
      <c r="A76" s="18" t="inlineStr">
        <is>
          <t>50/50 BLENDED NET</t>
        </is>
      </c>
      <c r="B76" s="21">
        <f>(B74+B75)/2</f>
        <v/>
      </c>
      <c r="C76" s="21">
        <f>(C74+C75)/2</f>
        <v/>
      </c>
      <c r="D76" s="21">
        <f>(D74+D75)/2</f>
        <v/>
      </c>
    </row>
    <row r="77">
      <c r="A77" s="8" t="inlineStr">
        <is>
          <t>Cross-check: v2.2 marketing-plan §1 lines 54–56 published £25.70 / £39.72 / £55.30</t>
        </is>
      </c>
    </row>
    <row r="79">
      <c r="A79" s="7" t="inlineStr">
        <is>
          <t>DAILY STACK SUBSCRIPTION NET (per subscriber per month)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9" t="inlineStr">
        <is>
          <t>Subscription price</t>
        </is>
      </c>
      <c r="B80" s="11">
        <f>C17</f>
        <v/>
      </c>
    </row>
    <row r="81">
      <c r="A81" s="9" t="inlineStr">
        <is>
          <t>Stripe processing (2.5%)</t>
        </is>
      </c>
      <c r="B81" s="11">
        <f>-C17*B24</f>
        <v/>
      </c>
    </row>
    <row r="82">
      <c r="A82" s="9" t="inlineStr">
        <is>
          <t>COGS</t>
        </is>
      </c>
      <c r="B82" s="11">
        <f>-B17</f>
        <v/>
      </c>
    </row>
    <row r="83">
      <c r="A83" s="18" t="inlineStr">
        <is>
          <t>NET PER SUB PER MONTH</t>
        </is>
      </c>
      <c r="B83" s="21">
        <f>SUM(B80:B82)</f>
        <v/>
      </c>
    </row>
    <row r="84">
      <c r="A84" s="8" t="inlineStr">
        <is>
          <t>Less: affiliate supp-conv bonus £10 (50% mix) — one-off per new sub</t>
        </is>
      </c>
    </row>
    <row r="85">
      <c r="A85" s="9" t="inlineStr">
        <is>
          <t>Blended cost adjustment per new sub</t>
        </is>
      </c>
      <c r="B85" s="11">
        <f>-B27*0.5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6" customHeight="1">
      <c r="A1" s="1" t="inlineStr">
        <is>
          <t>6-MONTH P&amp;L — Planning Case (450 kits)</t>
        </is>
      </c>
    </row>
    <row r="2">
      <c r="A2" s="8" t="inlineStr">
        <is>
          <t>v3 / Option 4 / v2.3 — figures linked to Assumptions sheet</t>
        </is>
      </c>
    </row>
    <row r="4">
      <c r="A4" t="inlineStr"/>
      <c r="B4" s="3" t="inlineStr">
        <is>
          <t>M1</t>
        </is>
      </c>
      <c r="C4" s="3" t="inlineStr">
        <is>
          <t>M2</t>
        </is>
      </c>
      <c r="D4" s="3" t="inlineStr">
        <is>
          <t>M3</t>
        </is>
      </c>
      <c r="E4" s="3" t="inlineStr">
        <is>
          <t>M4</t>
        </is>
      </c>
      <c r="F4" s="3" t="inlineStr">
        <is>
          <t>M5</t>
        </is>
      </c>
      <c r="G4" s="3" t="inlineStr">
        <is>
          <t>M6</t>
        </is>
      </c>
      <c r="H4" s="3" t="inlineStr">
        <is>
          <t>6-mo Total</t>
        </is>
      </c>
    </row>
    <row r="5">
      <c r="A5" t="inlineStr">
        <is>
          <t>Kit 1 sales</t>
        </is>
      </c>
      <c r="B5" t="n">
        <v>10</v>
      </c>
      <c r="C5" t="n">
        <v>17</v>
      </c>
      <c r="D5" t="n">
        <v>26</v>
      </c>
      <c r="E5" t="n">
        <v>36</v>
      </c>
      <c r="F5" t="n">
        <v>43</v>
      </c>
      <c r="G5" t="n">
        <v>48</v>
      </c>
      <c r="H5">
        <f>SUM(B5:G5)</f>
        <v/>
      </c>
    </row>
    <row r="6">
      <c r="A6" t="inlineStr">
        <is>
          <t>Kit 2 sales</t>
        </is>
      </c>
      <c r="B6" t="n">
        <v>10</v>
      </c>
      <c r="C6" t="n">
        <v>17</v>
      </c>
      <c r="D6" t="n">
        <v>26</v>
      </c>
      <c r="E6" t="n">
        <v>36</v>
      </c>
      <c r="F6" t="n">
        <v>43</v>
      </c>
      <c r="G6" t="n">
        <v>48</v>
      </c>
      <c r="H6">
        <f>SUM(B6:G6)</f>
        <v/>
      </c>
    </row>
    <row r="7">
      <c r="A7" t="inlineStr">
        <is>
          <t>Kit 3 sales</t>
        </is>
      </c>
      <c r="B7" t="n">
        <v>4</v>
      </c>
      <c r="C7" t="n">
        <v>8</v>
      </c>
      <c r="D7" t="n">
        <v>14</v>
      </c>
      <c r="E7" t="n">
        <v>18</v>
      </c>
      <c r="F7" t="n">
        <v>22</v>
      </c>
      <c r="G7" t="n">
        <v>24</v>
      </c>
      <c r="H7">
        <f>SUM(B7:G7)</f>
        <v/>
      </c>
    </row>
    <row r="8">
      <c r="A8" t="inlineStr">
        <is>
          <t>Total kits</t>
        </is>
      </c>
      <c r="B8">
        <f>SUM(B5:B7)</f>
        <v/>
      </c>
      <c r="C8">
        <f>SUM(C5:C7)</f>
        <v/>
      </c>
      <c r="D8">
        <f>SUM(D5:D7)</f>
        <v/>
      </c>
      <c r="E8">
        <f>SUM(E5:E7)</f>
        <v/>
      </c>
      <c r="F8">
        <f>SUM(F5:F7)</f>
        <v/>
      </c>
      <c r="G8">
        <f>SUM(G5:G7)</f>
        <v/>
      </c>
      <c r="H8">
        <f>SUM(B8:G8)</f>
        <v/>
      </c>
    </row>
    <row r="10">
      <c r="A10" s="7" t="inlineStr">
        <is>
          <t>KIT GROSS PROFIT (using blended kit net from Assumptions)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t="inlineStr">
        <is>
          <t>Kit 1 blended net £</t>
        </is>
      </c>
      <c r="B11" s="22">
        <f>B5*Assumptions!B76</f>
        <v/>
      </c>
      <c r="C11" s="22">
        <f>C5*Assumptions!B76</f>
        <v/>
      </c>
      <c r="D11" s="22">
        <f>D5*Assumptions!B76</f>
        <v/>
      </c>
      <c r="E11" s="22">
        <f>E5*Assumptions!B76</f>
        <v/>
      </c>
      <c r="F11" s="22">
        <f>F5*Assumptions!B76</f>
        <v/>
      </c>
      <c r="G11" s="22">
        <f>G5*Assumptions!B76</f>
        <v/>
      </c>
      <c r="H11" s="22">
        <f>SUM(B11:G11)</f>
        <v/>
      </c>
    </row>
    <row r="12">
      <c r="A12" t="inlineStr">
        <is>
          <t>Kit 2 blended net £</t>
        </is>
      </c>
      <c r="B12" s="22">
        <f>B6*Assumptions!C76</f>
        <v/>
      </c>
      <c r="C12" s="22">
        <f>C6*Assumptions!C76</f>
        <v/>
      </c>
      <c r="D12" s="22">
        <f>D6*Assumptions!C76</f>
        <v/>
      </c>
      <c r="E12" s="22">
        <f>E6*Assumptions!C76</f>
        <v/>
      </c>
      <c r="F12" s="22">
        <f>F6*Assumptions!C76</f>
        <v/>
      </c>
      <c r="G12" s="22">
        <f>G6*Assumptions!C76</f>
        <v/>
      </c>
      <c r="H12" s="22">
        <f>SUM(B12:G12)</f>
        <v/>
      </c>
    </row>
    <row r="13">
      <c r="A13" t="inlineStr">
        <is>
          <t>Kit 3 blended net £</t>
        </is>
      </c>
      <c r="B13" s="22">
        <f>B7*Assumptions!D76</f>
        <v/>
      </c>
      <c r="C13" s="22">
        <f>C7*Assumptions!D76</f>
        <v/>
      </c>
      <c r="D13" s="22">
        <f>D7*Assumptions!D76</f>
        <v/>
      </c>
      <c r="E13" s="22">
        <f>E7*Assumptions!D76</f>
        <v/>
      </c>
      <c r="F13" s="22">
        <f>F7*Assumptions!D76</f>
        <v/>
      </c>
      <c r="G13" s="22">
        <f>G7*Assumptions!D76</f>
        <v/>
      </c>
      <c r="H13" s="22">
        <f>SUM(B13:G13)</f>
        <v/>
      </c>
    </row>
    <row r="14">
      <c r="A14" s="18" t="inlineStr">
        <is>
          <t>TOTAL KIT GROSS</t>
        </is>
      </c>
      <c r="B14" s="19">
        <f>SUM(B11:B13)</f>
        <v/>
      </c>
      <c r="C14" s="19">
        <f>SUM(C11:C13)</f>
        <v/>
      </c>
      <c r="D14" s="19">
        <f>SUM(D11:D13)</f>
        <v/>
      </c>
      <c r="E14" s="19">
        <f>SUM(E11:E13)</f>
        <v/>
      </c>
      <c r="F14" s="19">
        <f>SUM(F11:F13)</f>
        <v/>
      </c>
      <c r="G14" s="19">
        <f>SUM(G11:G13)</f>
        <v/>
      </c>
      <c r="H14" s="19">
        <f>SUM(H11:H13)</f>
        <v/>
      </c>
    </row>
    <row r="16">
      <c r="A16" s="7" t="inlineStr">
        <is>
          <t>SUPPLEMENT SUBSCRIBERS (4-mo trailing active)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t="inlineStr">
        <is>
          <t>New Daily Stack subs (15% of all kits)</t>
        </is>
      </c>
      <c r="B17" s="23">
        <f>B8*Assumptions!B31</f>
        <v/>
      </c>
      <c r="C17" s="23">
        <f>C8*Assumptions!B31</f>
        <v/>
      </c>
      <c r="D17" s="23">
        <f>D8*Assumptions!B31</f>
        <v/>
      </c>
      <c r="E17" s="23">
        <f>E8*Assumptions!B31</f>
        <v/>
      </c>
      <c r="F17" s="23">
        <f>F8*Assumptions!B31</f>
        <v/>
      </c>
      <c r="G17" s="23">
        <f>G8*Assumptions!B31</f>
        <v/>
      </c>
      <c r="H17" s="23">
        <f>SUM(B17:G17)</f>
        <v/>
      </c>
    </row>
    <row r="18">
      <c r="A18" t="inlineStr">
        <is>
          <t>Active Daily Stack (4-mo trailing)</t>
        </is>
      </c>
      <c r="B18" s="23">
        <f>B17</f>
        <v/>
      </c>
      <c r="C18" s="23">
        <f>B17+C17</f>
        <v/>
      </c>
      <c r="D18" s="23">
        <f>B17+C17+D17</f>
        <v/>
      </c>
      <c r="E18" s="23">
        <f>B17+C17+D17+E17</f>
        <v/>
      </c>
      <c r="F18" s="23">
        <f>C17+D17+E17+F17</f>
        <v/>
      </c>
      <c r="G18" s="23">
        <f>D17+E17+F17+G17</f>
        <v/>
      </c>
      <c r="H18" s="23">
        <f>G18</f>
        <v/>
      </c>
    </row>
    <row r="19">
      <c r="A19" t="inlineStr">
        <is>
          <t>New Collagen subs (15% of Kit 2)</t>
        </is>
      </c>
      <c r="B19" s="23">
        <f>B6*Assumptions!B32</f>
        <v/>
      </c>
      <c r="C19" s="23">
        <f>C6*Assumptions!B32</f>
        <v/>
      </c>
      <c r="D19" s="23">
        <f>D6*Assumptions!B32</f>
        <v/>
      </c>
      <c r="E19" s="23">
        <f>E6*Assumptions!B32</f>
        <v/>
      </c>
      <c r="F19" s="23">
        <f>F6*Assumptions!B32</f>
        <v/>
      </c>
      <c r="G19" s="23">
        <f>G6*Assumptions!B32</f>
        <v/>
      </c>
      <c r="H19" s="23">
        <f>SUM(B19:G19)</f>
        <v/>
      </c>
    </row>
    <row r="20">
      <c r="A20" t="inlineStr">
        <is>
          <t>Active Collagen (4-mo trailing)</t>
        </is>
      </c>
      <c r="B20" s="23">
        <f>B19</f>
        <v/>
      </c>
      <c r="C20" s="23">
        <f>B19+C19</f>
        <v/>
      </c>
      <c r="D20" s="23">
        <f>B19+C19+D19</f>
        <v/>
      </c>
      <c r="E20" s="23">
        <f>B19+C19+D19+E19</f>
        <v/>
      </c>
      <c r="F20" s="23">
        <f>C19+D19+E19+F19</f>
        <v/>
      </c>
      <c r="G20" s="23">
        <f>D19+E19+F19+G19</f>
        <v/>
      </c>
      <c r="H20" s="23">
        <f>G20</f>
        <v/>
      </c>
    </row>
    <row r="22">
      <c r="A22" s="7" t="inlineStr">
        <is>
          <t>SUPPLEMENT NET CONTRIBUTION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t="inlineStr">
        <is>
          <t>Daily Stack net £</t>
        </is>
      </c>
      <c r="B23" s="22">
        <f>B18*Assumptions!B83+B17*Assumptions!B85</f>
        <v/>
      </c>
      <c r="C23" s="22">
        <f>C18*Assumptions!B83+C17*Assumptions!B85</f>
        <v/>
      </c>
      <c r="D23" s="22">
        <f>D18*Assumptions!B83+D17*Assumptions!B85</f>
        <v/>
      </c>
      <c r="E23" s="22">
        <f>E18*Assumptions!B83+E17*Assumptions!B85</f>
        <v/>
      </c>
      <c r="F23" s="22">
        <f>F18*Assumptions!B83+F17*Assumptions!B85</f>
        <v/>
      </c>
      <c r="G23" s="22">
        <f>G18*Assumptions!B83+G17*Assumptions!B85</f>
        <v/>
      </c>
      <c r="H23" s="22">
        <f>SUM(B23:G23)</f>
        <v/>
      </c>
    </row>
    <row r="24">
      <c r="A24" t="inlineStr">
        <is>
          <t>Collagen net £</t>
        </is>
      </c>
      <c r="B24" s="22">
        <f>B20*(Assumptions!C18*(1-Assumptions!B24)-Assumptions!B18)+B19*-5</f>
        <v/>
      </c>
      <c r="C24" s="22">
        <f>C20*(Assumptions!C18*(1-Assumptions!B24)-Assumptions!B18)+C19*-5</f>
        <v/>
      </c>
      <c r="D24" s="22">
        <f>D20*(Assumptions!C18*(1-Assumptions!B24)-Assumptions!B18)+D19*-5</f>
        <v/>
      </c>
      <c r="E24" s="22">
        <f>E20*(Assumptions!C18*(1-Assumptions!B24)-Assumptions!B18)+E19*-5</f>
        <v/>
      </c>
      <c r="F24" s="22">
        <f>F20*(Assumptions!C18*(1-Assumptions!B24)-Assumptions!B18)+F19*-5</f>
        <v/>
      </c>
      <c r="G24" s="22">
        <f>G20*(Assumptions!C18*(1-Assumptions!B24)-Assumptions!B18)+G19*-5</f>
        <v/>
      </c>
      <c r="H24" s="22">
        <f>SUM(B24:G24)</f>
        <v/>
      </c>
    </row>
    <row r="25">
      <c r="A25" s="18" t="inlineStr">
        <is>
          <t>TOTAL SUPPLEMENT NET</t>
        </is>
      </c>
      <c r="B25" s="19">
        <f>B23+B24</f>
        <v/>
      </c>
      <c r="C25" s="19">
        <f>C23+C24</f>
        <v/>
      </c>
      <c r="D25" s="19">
        <f>D23+D24</f>
        <v/>
      </c>
      <c r="E25" s="19">
        <f>E23+E24</f>
        <v/>
      </c>
      <c r="F25" s="19">
        <f>F23+F24</f>
        <v/>
      </c>
      <c r="G25" s="19">
        <f>G23+G24</f>
        <v/>
      </c>
      <c r="H25" s="19">
        <f>H23+H24</f>
        <v/>
      </c>
    </row>
    <row r="27">
      <c r="A27" s="7" t="inlineStr">
        <is>
          <t>TOTAL CONTRIBUTION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t="inlineStr">
        <is>
          <t>Total contribution</t>
        </is>
      </c>
      <c r="B28" s="19">
        <f>B14+B25</f>
        <v/>
      </c>
      <c r="C28" s="19">
        <f>C14+C25</f>
        <v/>
      </c>
      <c r="D28" s="19">
        <f>D14+D25</f>
        <v/>
      </c>
      <c r="E28" s="19">
        <f>E14+E25</f>
        <v/>
      </c>
      <c r="F28" s="19">
        <f>F14+F25</f>
        <v/>
      </c>
      <c r="G28" s="19">
        <f>G14+G25</f>
        <v/>
      </c>
      <c r="H28" s="19">
        <f>H14+H25</f>
        <v/>
      </c>
    </row>
    <row r="30">
      <c r="A30" s="7" t="inlineStr">
        <is>
          <t>OPERATING EXPENSES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9" t="inlineStr">
        <is>
          <t>Fixed overhead</t>
        </is>
      </c>
      <c r="B31" s="22" t="n">
        <v>-593</v>
      </c>
      <c r="C31" s="22" t="n">
        <v>-593</v>
      </c>
      <c r="D31" s="22" t="n">
        <v>-593</v>
      </c>
      <c r="E31" s="22" t="n">
        <v>-593</v>
      </c>
      <c r="F31" s="22" t="n">
        <v>-593</v>
      </c>
      <c r="G31" s="22" t="n">
        <v>-593</v>
      </c>
      <c r="H31" s="22">
        <f>SUM(B31:G31)</f>
        <v/>
      </c>
    </row>
    <row r="32">
      <c r="A32" s="9" t="inlineStr">
        <is>
          <t>Free kits (M1 only)</t>
        </is>
      </c>
      <c r="B32" s="22" t="n">
        <v>-1750</v>
      </c>
      <c r="C32" s="22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>
        <f>SUM(B32:G32)</f>
        <v/>
      </c>
    </row>
    <row r="33">
      <c r="A33" s="9" t="inlineStr">
        <is>
          <t>Gym partnership free kits</t>
        </is>
      </c>
      <c r="B33" s="22" t="n">
        <v>-630</v>
      </c>
      <c r="C33" s="22" t="n">
        <v>-630</v>
      </c>
      <c r="D33" s="22" t="n">
        <v>-630</v>
      </c>
      <c r="E33" s="22" t="n">
        <v>0</v>
      </c>
      <c r="F33" s="22" t="n">
        <v>0</v>
      </c>
      <c r="G33" s="22" t="n">
        <v>0</v>
      </c>
      <c r="H33" s="22">
        <f>SUM(B33:G33)</f>
        <v/>
      </c>
    </row>
    <row r="34">
      <c r="A34" s="9" t="inlineStr">
        <is>
          <t>PT bonuses + contests (v2.3)</t>
        </is>
      </c>
      <c r="B34" s="22" t="n">
        <v>0</v>
      </c>
      <c r="C34" s="22" t="n">
        <v>0</v>
      </c>
      <c r="D34" s="22" t="n">
        <v>-1000</v>
      </c>
      <c r="E34" s="22" t="n">
        <v>0</v>
      </c>
      <c r="F34" s="22" t="n">
        <v>0</v>
      </c>
      <c r="G34" s="22" t="n">
        <v>-3000</v>
      </c>
      <c r="H34" s="22">
        <f>SUM(B34:G34)</f>
        <v/>
      </c>
    </row>
    <row r="35">
      <c r="A35" s="9" t="inlineStr">
        <is>
          <t>Tier graduation bonuses</t>
        </is>
      </c>
      <c r="B35" s="22" t="n">
        <v>0</v>
      </c>
      <c r="C35" s="22" t="n">
        <v>0</v>
      </c>
      <c r="D35" s="22" t="n">
        <v>0</v>
      </c>
      <c r="E35" s="22" t="n">
        <v>-200</v>
      </c>
      <c r="F35" s="22" t="n">
        <v>-600</v>
      </c>
      <c r="G35" s="22" t="n">
        <v>-600</v>
      </c>
      <c r="H35" s="22">
        <f>SUM(B35:G35)</f>
        <v/>
      </c>
    </row>
    <row r="36">
      <c r="A36" s="9" t="inlineStr">
        <is>
          <t>Flagship per-piece content</t>
        </is>
      </c>
      <c r="B36" s="22" t="n">
        <v>-500</v>
      </c>
      <c r="C36" s="22" t="n">
        <v>-500</v>
      </c>
      <c r="D36" s="22" t="n">
        <v>-500</v>
      </c>
      <c r="E36" s="22" t="n">
        <v>-500</v>
      </c>
      <c r="F36" s="22" t="n">
        <v>-500</v>
      </c>
      <c r="G36" s="22" t="n">
        <v>-500</v>
      </c>
      <c r="H36" s="22">
        <f>SUM(B36:G36)</f>
        <v/>
      </c>
    </row>
    <row r="37">
      <c r="A37" s="9" t="inlineStr">
        <is>
          <t>FirstPromoter + assets</t>
        </is>
      </c>
      <c r="B37" s="22" t="n">
        <v>-200</v>
      </c>
      <c r="C37" s="22" t="n">
        <v>-200</v>
      </c>
      <c r="D37" s="22" t="n">
        <v>-200</v>
      </c>
      <c r="E37" s="22" t="n">
        <v>-200</v>
      </c>
      <c r="F37" s="22" t="n">
        <v>-200</v>
      </c>
      <c r="G37" s="22" t="n">
        <v>-200</v>
      </c>
      <c r="H37" s="22">
        <f>SUM(B37:G37)</f>
        <v/>
      </c>
    </row>
    <row r="38">
      <c r="A38" s="18" t="inlineStr">
        <is>
          <t>TOTAL OPEX</t>
        </is>
      </c>
      <c r="B38" s="19">
        <f>SUM(B31:B37)</f>
        <v/>
      </c>
      <c r="C38" s="19">
        <f>SUM(C31:C37)</f>
        <v/>
      </c>
      <c r="D38" s="19">
        <f>SUM(D31:D37)</f>
        <v/>
      </c>
      <c r="E38" s="19">
        <f>SUM(E31:E37)</f>
        <v/>
      </c>
      <c r="F38" s="19">
        <f>SUM(F31:F37)</f>
        <v/>
      </c>
      <c r="G38" s="19">
        <f>SUM(G31:G37)</f>
        <v/>
      </c>
      <c r="H38" s="19">
        <f>SUM(H31:H37)</f>
        <v/>
      </c>
    </row>
    <row r="40">
      <c r="A40" s="18" t="inlineStr">
        <is>
          <t>NET CONTRIBUTION</t>
        </is>
      </c>
      <c r="B40" s="19">
        <f>B28+B38</f>
        <v/>
      </c>
      <c r="C40" s="19">
        <f>C28+C38</f>
        <v/>
      </c>
      <c r="D40" s="19">
        <f>D28+D38</f>
        <v/>
      </c>
      <c r="E40" s="19">
        <f>E28+E38</f>
        <v/>
      </c>
      <c r="F40" s="19">
        <f>F28+F38</f>
        <v/>
      </c>
      <c r="G40" s="19">
        <f>G28+G38</f>
        <v/>
      </c>
      <c r="H40" s="19">
        <f>H28+H38</f>
        <v/>
      </c>
    </row>
    <row r="41">
      <c r="A41" s="18" t="inlineStr">
        <is>
          <t>CUMULATIVE CASH (P&amp;L)</t>
        </is>
      </c>
      <c r="B41" s="19">
        <f>B40</f>
        <v/>
      </c>
      <c r="C41" s="19">
        <f>B41+C40</f>
        <v/>
      </c>
      <c r="D41" s="19">
        <f>C41+D40</f>
        <v/>
      </c>
      <c r="E41" s="19">
        <f>D41+E40</f>
        <v/>
      </c>
      <c r="F41" s="19">
        <f>E41+F40</f>
        <v/>
      </c>
      <c r="G41" s="19">
        <f>F41+G40</f>
        <v/>
      </c>
      <c r="H41" s="19">
        <f>G41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6" customHeight="1">
      <c r="A1" s="1" t="inlineStr">
        <is>
          <t>6-MONTH P&amp;L — Minimum Case (375 kits)</t>
        </is>
      </c>
    </row>
    <row r="2">
      <c r="A2" s="8" t="inlineStr">
        <is>
          <t>v3 / Option 4 / v2.3 — figures linked to Assumptions sheet</t>
        </is>
      </c>
    </row>
    <row r="4">
      <c r="A4" t="inlineStr"/>
      <c r="B4" s="3" t="inlineStr">
        <is>
          <t>M1</t>
        </is>
      </c>
      <c r="C4" s="3" t="inlineStr">
        <is>
          <t>M2</t>
        </is>
      </c>
      <c r="D4" s="3" t="inlineStr">
        <is>
          <t>M3</t>
        </is>
      </c>
      <c r="E4" s="3" t="inlineStr">
        <is>
          <t>M4</t>
        </is>
      </c>
      <c r="F4" s="3" t="inlineStr">
        <is>
          <t>M5</t>
        </is>
      </c>
      <c r="G4" s="3" t="inlineStr">
        <is>
          <t>M6</t>
        </is>
      </c>
      <c r="H4" s="3" t="inlineStr">
        <is>
          <t>6-mo Total</t>
        </is>
      </c>
    </row>
    <row r="5">
      <c r="A5" t="inlineStr">
        <is>
          <t>Kit 1 sales</t>
        </is>
      </c>
      <c r="B5" t="n">
        <v>8</v>
      </c>
      <c r="C5" t="n">
        <v>14</v>
      </c>
      <c r="D5" t="n">
        <v>22</v>
      </c>
      <c r="E5" t="n">
        <v>30</v>
      </c>
      <c r="F5" t="n">
        <v>36</v>
      </c>
      <c r="G5" t="n">
        <v>40</v>
      </c>
      <c r="H5">
        <f>SUM(B5:G5)</f>
        <v/>
      </c>
    </row>
    <row r="6">
      <c r="A6" t="inlineStr">
        <is>
          <t>Kit 2 sales</t>
        </is>
      </c>
      <c r="B6" t="n">
        <v>8</v>
      </c>
      <c r="C6" t="n">
        <v>14</v>
      </c>
      <c r="D6" t="n">
        <v>22</v>
      </c>
      <c r="E6" t="n">
        <v>30</v>
      </c>
      <c r="F6" t="n">
        <v>36</v>
      </c>
      <c r="G6" t="n">
        <v>40</v>
      </c>
      <c r="H6">
        <f>SUM(B6:G6)</f>
        <v/>
      </c>
    </row>
    <row r="7">
      <c r="A7" t="inlineStr">
        <is>
          <t>Kit 3 sales</t>
        </is>
      </c>
      <c r="B7" t="n">
        <v>4</v>
      </c>
      <c r="C7" t="n">
        <v>7</v>
      </c>
      <c r="D7" t="n">
        <v>11</v>
      </c>
      <c r="E7" t="n">
        <v>15</v>
      </c>
      <c r="F7" t="n">
        <v>18</v>
      </c>
      <c r="G7" t="n">
        <v>20</v>
      </c>
      <c r="H7">
        <f>SUM(B7:G7)</f>
        <v/>
      </c>
    </row>
    <row r="8">
      <c r="A8" t="inlineStr">
        <is>
          <t>Total kits</t>
        </is>
      </c>
      <c r="B8">
        <f>SUM(B5:B7)</f>
        <v/>
      </c>
      <c r="C8">
        <f>SUM(C5:C7)</f>
        <v/>
      </c>
      <c r="D8">
        <f>SUM(D5:D7)</f>
        <v/>
      </c>
      <c r="E8">
        <f>SUM(E5:E7)</f>
        <v/>
      </c>
      <c r="F8">
        <f>SUM(F5:F7)</f>
        <v/>
      </c>
      <c r="G8">
        <f>SUM(G5:G7)</f>
        <v/>
      </c>
      <c r="H8">
        <f>SUM(B8:G8)</f>
        <v/>
      </c>
    </row>
    <row r="10">
      <c r="A10" s="7" t="inlineStr">
        <is>
          <t>KIT GROSS PROFIT (using blended kit net from Assumptions)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t="inlineStr">
        <is>
          <t>Kit 1 blended net £</t>
        </is>
      </c>
      <c r="B11" s="22">
        <f>B5*Assumptions!B76</f>
        <v/>
      </c>
      <c r="C11" s="22">
        <f>C5*Assumptions!B76</f>
        <v/>
      </c>
      <c r="D11" s="22">
        <f>D5*Assumptions!B76</f>
        <v/>
      </c>
      <c r="E11" s="22">
        <f>E5*Assumptions!B76</f>
        <v/>
      </c>
      <c r="F11" s="22">
        <f>F5*Assumptions!B76</f>
        <v/>
      </c>
      <c r="G11" s="22">
        <f>G5*Assumptions!B76</f>
        <v/>
      </c>
      <c r="H11" s="22">
        <f>SUM(B11:G11)</f>
        <v/>
      </c>
    </row>
    <row r="12">
      <c r="A12" t="inlineStr">
        <is>
          <t>Kit 2 blended net £</t>
        </is>
      </c>
      <c r="B12" s="22">
        <f>B6*Assumptions!C76</f>
        <v/>
      </c>
      <c r="C12" s="22">
        <f>C6*Assumptions!C76</f>
        <v/>
      </c>
      <c r="D12" s="22">
        <f>D6*Assumptions!C76</f>
        <v/>
      </c>
      <c r="E12" s="22">
        <f>E6*Assumptions!C76</f>
        <v/>
      </c>
      <c r="F12" s="22">
        <f>F6*Assumptions!C76</f>
        <v/>
      </c>
      <c r="G12" s="22">
        <f>G6*Assumptions!C76</f>
        <v/>
      </c>
      <c r="H12" s="22">
        <f>SUM(B12:G12)</f>
        <v/>
      </c>
    </row>
    <row r="13">
      <c r="A13" t="inlineStr">
        <is>
          <t>Kit 3 blended net £</t>
        </is>
      </c>
      <c r="B13" s="22">
        <f>B7*Assumptions!D76</f>
        <v/>
      </c>
      <c r="C13" s="22">
        <f>C7*Assumptions!D76</f>
        <v/>
      </c>
      <c r="D13" s="22">
        <f>D7*Assumptions!D76</f>
        <v/>
      </c>
      <c r="E13" s="22">
        <f>E7*Assumptions!D76</f>
        <v/>
      </c>
      <c r="F13" s="22">
        <f>F7*Assumptions!D76</f>
        <v/>
      </c>
      <c r="G13" s="22">
        <f>G7*Assumptions!D76</f>
        <v/>
      </c>
      <c r="H13" s="22">
        <f>SUM(B13:G13)</f>
        <v/>
      </c>
    </row>
    <row r="14">
      <c r="A14" s="18" t="inlineStr">
        <is>
          <t>TOTAL KIT GROSS</t>
        </is>
      </c>
      <c r="B14" s="19">
        <f>SUM(B11:B13)</f>
        <v/>
      </c>
      <c r="C14" s="19">
        <f>SUM(C11:C13)</f>
        <v/>
      </c>
      <c r="D14" s="19">
        <f>SUM(D11:D13)</f>
        <v/>
      </c>
      <c r="E14" s="19">
        <f>SUM(E11:E13)</f>
        <v/>
      </c>
      <c r="F14" s="19">
        <f>SUM(F11:F13)</f>
        <v/>
      </c>
      <c r="G14" s="19">
        <f>SUM(G11:G13)</f>
        <v/>
      </c>
      <c r="H14" s="19">
        <f>SUM(H11:H13)</f>
        <v/>
      </c>
    </row>
    <row r="16">
      <c r="A16" s="7" t="inlineStr">
        <is>
          <t>SUPPLEMENT SUBSCRIBERS (4-mo trailing active)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t="inlineStr">
        <is>
          <t>New Daily Stack subs (15% of all kits)</t>
        </is>
      </c>
      <c r="B17" s="23">
        <f>B8*Assumptions!B31</f>
        <v/>
      </c>
      <c r="C17" s="23">
        <f>C8*Assumptions!B31</f>
        <v/>
      </c>
      <c r="D17" s="23">
        <f>D8*Assumptions!B31</f>
        <v/>
      </c>
      <c r="E17" s="23">
        <f>E8*Assumptions!B31</f>
        <v/>
      </c>
      <c r="F17" s="23">
        <f>F8*Assumptions!B31</f>
        <v/>
      </c>
      <c r="G17" s="23">
        <f>G8*Assumptions!B31</f>
        <v/>
      </c>
      <c r="H17" s="23">
        <f>SUM(B17:G17)</f>
        <v/>
      </c>
    </row>
    <row r="18">
      <c r="A18" t="inlineStr">
        <is>
          <t>Active Daily Stack (4-mo trailing)</t>
        </is>
      </c>
      <c r="B18" s="23">
        <f>B17</f>
        <v/>
      </c>
      <c r="C18" s="23">
        <f>B17+C17</f>
        <v/>
      </c>
      <c r="D18" s="23">
        <f>B17+C17+D17</f>
        <v/>
      </c>
      <c r="E18" s="23">
        <f>B17+C17+D17+E17</f>
        <v/>
      </c>
      <c r="F18" s="23">
        <f>C17+D17+E17+F17</f>
        <v/>
      </c>
      <c r="G18" s="23">
        <f>D17+E17+F17+G17</f>
        <v/>
      </c>
      <c r="H18" s="23">
        <f>G18</f>
        <v/>
      </c>
    </row>
    <row r="19">
      <c r="A19" t="inlineStr">
        <is>
          <t>New Collagen subs (15% of Kit 2)</t>
        </is>
      </c>
      <c r="B19" s="23">
        <f>B6*Assumptions!B32</f>
        <v/>
      </c>
      <c r="C19" s="23">
        <f>C6*Assumptions!B32</f>
        <v/>
      </c>
      <c r="D19" s="23">
        <f>D6*Assumptions!B32</f>
        <v/>
      </c>
      <c r="E19" s="23">
        <f>E6*Assumptions!B32</f>
        <v/>
      </c>
      <c r="F19" s="23">
        <f>F6*Assumptions!B32</f>
        <v/>
      </c>
      <c r="G19" s="23">
        <f>G6*Assumptions!B32</f>
        <v/>
      </c>
      <c r="H19" s="23">
        <f>SUM(B19:G19)</f>
        <v/>
      </c>
    </row>
    <row r="20">
      <c r="A20" t="inlineStr">
        <is>
          <t>Active Collagen (4-mo trailing)</t>
        </is>
      </c>
      <c r="B20" s="23">
        <f>B19</f>
        <v/>
      </c>
      <c r="C20" s="23">
        <f>B19+C19</f>
        <v/>
      </c>
      <c r="D20" s="23">
        <f>B19+C19+D19</f>
        <v/>
      </c>
      <c r="E20" s="23">
        <f>B19+C19+D19+E19</f>
        <v/>
      </c>
      <c r="F20" s="23">
        <f>C19+D19+E19+F19</f>
        <v/>
      </c>
      <c r="G20" s="23">
        <f>D19+E19+F19+G19</f>
        <v/>
      </c>
      <c r="H20" s="23">
        <f>G20</f>
        <v/>
      </c>
    </row>
    <row r="22">
      <c r="A22" s="7" t="inlineStr">
        <is>
          <t>SUPPLEMENT NET CONTRIBUTION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t="inlineStr">
        <is>
          <t>Daily Stack net £</t>
        </is>
      </c>
      <c r="B23" s="22">
        <f>B18*Assumptions!B83+B17*Assumptions!B85</f>
        <v/>
      </c>
      <c r="C23" s="22">
        <f>C18*Assumptions!B83+C17*Assumptions!B85</f>
        <v/>
      </c>
      <c r="D23" s="22">
        <f>D18*Assumptions!B83+D17*Assumptions!B85</f>
        <v/>
      </c>
      <c r="E23" s="22">
        <f>E18*Assumptions!B83+E17*Assumptions!B85</f>
        <v/>
      </c>
      <c r="F23" s="22">
        <f>F18*Assumptions!B83+F17*Assumptions!B85</f>
        <v/>
      </c>
      <c r="G23" s="22">
        <f>G18*Assumptions!B83+G17*Assumptions!B85</f>
        <v/>
      </c>
      <c r="H23" s="22">
        <f>SUM(B23:G23)</f>
        <v/>
      </c>
    </row>
    <row r="24">
      <c r="A24" t="inlineStr">
        <is>
          <t>Collagen net £</t>
        </is>
      </c>
      <c r="B24" s="22">
        <f>B20*(Assumptions!C18*(1-Assumptions!B24)-Assumptions!B18)+B19*-5</f>
        <v/>
      </c>
      <c r="C24" s="22">
        <f>C20*(Assumptions!C18*(1-Assumptions!B24)-Assumptions!B18)+C19*-5</f>
        <v/>
      </c>
      <c r="D24" s="22">
        <f>D20*(Assumptions!C18*(1-Assumptions!B24)-Assumptions!B18)+D19*-5</f>
        <v/>
      </c>
      <c r="E24" s="22">
        <f>E20*(Assumptions!C18*(1-Assumptions!B24)-Assumptions!B18)+E19*-5</f>
        <v/>
      </c>
      <c r="F24" s="22">
        <f>F20*(Assumptions!C18*(1-Assumptions!B24)-Assumptions!B18)+F19*-5</f>
        <v/>
      </c>
      <c r="G24" s="22">
        <f>G20*(Assumptions!C18*(1-Assumptions!B24)-Assumptions!B18)+G19*-5</f>
        <v/>
      </c>
      <c r="H24" s="22">
        <f>SUM(B24:G24)</f>
        <v/>
      </c>
    </row>
    <row r="25">
      <c r="A25" s="18" t="inlineStr">
        <is>
          <t>TOTAL SUPPLEMENT NET</t>
        </is>
      </c>
      <c r="B25" s="19">
        <f>B23+B24</f>
        <v/>
      </c>
      <c r="C25" s="19">
        <f>C23+C24</f>
        <v/>
      </c>
      <c r="D25" s="19">
        <f>D23+D24</f>
        <v/>
      </c>
      <c r="E25" s="19">
        <f>E23+E24</f>
        <v/>
      </c>
      <c r="F25" s="19">
        <f>F23+F24</f>
        <v/>
      </c>
      <c r="G25" s="19">
        <f>G23+G24</f>
        <v/>
      </c>
      <c r="H25" s="19">
        <f>H23+H24</f>
        <v/>
      </c>
    </row>
    <row r="27">
      <c r="A27" s="7" t="inlineStr">
        <is>
          <t>TOTAL CONTRIBUTION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t="inlineStr">
        <is>
          <t>Total contribution</t>
        </is>
      </c>
      <c r="B28" s="19">
        <f>B14+B25</f>
        <v/>
      </c>
      <c r="C28" s="19">
        <f>C14+C25</f>
        <v/>
      </c>
      <c r="D28" s="19">
        <f>D14+D25</f>
        <v/>
      </c>
      <c r="E28" s="19">
        <f>E14+E25</f>
        <v/>
      </c>
      <c r="F28" s="19">
        <f>F14+F25</f>
        <v/>
      </c>
      <c r="G28" s="19">
        <f>G14+G25</f>
        <v/>
      </c>
      <c r="H28" s="19">
        <f>H14+H25</f>
        <v/>
      </c>
    </row>
    <row r="30">
      <c r="A30" s="7" t="inlineStr">
        <is>
          <t>OPERATING EXPENSES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9" t="inlineStr">
        <is>
          <t>Fixed overhead</t>
        </is>
      </c>
      <c r="B31" s="22" t="n">
        <v>-593</v>
      </c>
      <c r="C31" s="22" t="n">
        <v>-593</v>
      </c>
      <c r="D31" s="22" t="n">
        <v>-593</v>
      </c>
      <c r="E31" s="22" t="n">
        <v>-593</v>
      </c>
      <c r="F31" s="22" t="n">
        <v>-593</v>
      </c>
      <c r="G31" s="22" t="n">
        <v>-593</v>
      </c>
      <c r="H31" s="22">
        <f>SUM(B31:G31)</f>
        <v/>
      </c>
    </row>
    <row r="32">
      <c r="A32" s="9" t="inlineStr">
        <is>
          <t>Free kits (M1 only)</t>
        </is>
      </c>
      <c r="B32" s="22" t="n">
        <v>-1750</v>
      </c>
      <c r="C32" s="22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>
        <f>SUM(B32:G32)</f>
        <v/>
      </c>
    </row>
    <row r="33">
      <c r="A33" s="9" t="inlineStr">
        <is>
          <t>Gym partnership free kits</t>
        </is>
      </c>
      <c r="B33" s="22" t="n">
        <v>-630</v>
      </c>
      <c r="C33" s="22" t="n">
        <v>-630</v>
      </c>
      <c r="D33" s="22" t="n">
        <v>-630</v>
      </c>
      <c r="E33" s="22" t="n">
        <v>0</v>
      </c>
      <c r="F33" s="22" t="n">
        <v>0</v>
      </c>
      <c r="G33" s="22" t="n">
        <v>0</v>
      </c>
      <c r="H33" s="22">
        <f>SUM(B33:G33)</f>
        <v/>
      </c>
    </row>
    <row r="34">
      <c r="A34" s="9" t="inlineStr">
        <is>
          <t>PT bonuses + contests (v2.3)</t>
        </is>
      </c>
      <c r="B34" s="22" t="n">
        <v>0</v>
      </c>
      <c r="C34" s="22" t="n">
        <v>0</v>
      </c>
      <c r="D34" s="22" t="n">
        <v>-1000</v>
      </c>
      <c r="E34" s="22" t="n">
        <v>0</v>
      </c>
      <c r="F34" s="22" t="n">
        <v>0</v>
      </c>
      <c r="G34" s="22" t="n">
        <v>-3000</v>
      </c>
      <c r="H34" s="22">
        <f>SUM(B34:G34)</f>
        <v/>
      </c>
    </row>
    <row r="35">
      <c r="A35" s="9" t="inlineStr">
        <is>
          <t>Tier graduation bonuses</t>
        </is>
      </c>
      <c r="B35" s="22" t="n">
        <v>0</v>
      </c>
      <c r="C35" s="22" t="n">
        <v>0</v>
      </c>
      <c r="D35" s="22" t="n">
        <v>0</v>
      </c>
      <c r="E35" s="22" t="n">
        <v>-200</v>
      </c>
      <c r="F35" s="22" t="n">
        <v>-600</v>
      </c>
      <c r="G35" s="22" t="n">
        <v>-600</v>
      </c>
      <c r="H35" s="22">
        <f>SUM(B35:G35)</f>
        <v/>
      </c>
    </row>
    <row r="36">
      <c r="A36" s="9" t="inlineStr">
        <is>
          <t>Flagship per-piece content</t>
        </is>
      </c>
      <c r="B36" s="22" t="n">
        <v>-500</v>
      </c>
      <c r="C36" s="22" t="n">
        <v>-500</v>
      </c>
      <c r="D36" s="22" t="n">
        <v>-500</v>
      </c>
      <c r="E36" s="22" t="n">
        <v>-500</v>
      </c>
      <c r="F36" s="22" t="n">
        <v>-500</v>
      </c>
      <c r="G36" s="22" t="n">
        <v>-500</v>
      </c>
      <c r="H36" s="22">
        <f>SUM(B36:G36)</f>
        <v/>
      </c>
    </row>
    <row r="37">
      <c r="A37" s="9" t="inlineStr">
        <is>
          <t>FirstPromoter + assets</t>
        </is>
      </c>
      <c r="B37" s="22" t="n">
        <v>-200</v>
      </c>
      <c r="C37" s="22" t="n">
        <v>-200</v>
      </c>
      <c r="D37" s="22" t="n">
        <v>-200</v>
      </c>
      <c r="E37" s="22" t="n">
        <v>-200</v>
      </c>
      <c r="F37" s="22" t="n">
        <v>-200</v>
      </c>
      <c r="G37" s="22" t="n">
        <v>-200</v>
      </c>
      <c r="H37" s="22">
        <f>SUM(B37:G37)</f>
        <v/>
      </c>
    </row>
    <row r="38">
      <c r="A38" s="18" t="inlineStr">
        <is>
          <t>TOTAL OPEX</t>
        </is>
      </c>
      <c r="B38" s="19">
        <f>SUM(B31:B37)</f>
        <v/>
      </c>
      <c r="C38" s="19">
        <f>SUM(C31:C37)</f>
        <v/>
      </c>
      <c r="D38" s="19">
        <f>SUM(D31:D37)</f>
        <v/>
      </c>
      <c r="E38" s="19">
        <f>SUM(E31:E37)</f>
        <v/>
      </c>
      <c r="F38" s="19">
        <f>SUM(F31:F37)</f>
        <v/>
      </c>
      <c r="G38" s="19">
        <f>SUM(G31:G37)</f>
        <v/>
      </c>
      <c r="H38" s="19">
        <f>SUM(H31:H37)</f>
        <v/>
      </c>
    </row>
    <row r="40">
      <c r="A40" s="18" t="inlineStr">
        <is>
          <t>NET CONTRIBUTION</t>
        </is>
      </c>
      <c r="B40" s="19">
        <f>B28+B38</f>
        <v/>
      </c>
      <c r="C40" s="19">
        <f>C28+C38</f>
        <v/>
      </c>
      <c r="D40" s="19">
        <f>D28+D38</f>
        <v/>
      </c>
      <c r="E40" s="19">
        <f>E28+E38</f>
        <v/>
      </c>
      <c r="F40" s="19">
        <f>F28+F38</f>
        <v/>
      </c>
      <c r="G40" s="19">
        <f>G28+G38</f>
        <v/>
      </c>
      <c r="H40" s="19">
        <f>H28+H38</f>
        <v/>
      </c>
    </row>
    <row r="41">
      <c r="A41" s="18" t="inlineStr">
        <is>
          <t>CUMULATIVE CASH (P&amp;L)</t>
        </is>
      </c>
      <c r="B41" s="19">
        <f>B40</f>
        <v/>
      </c>
      <c r="C41" s="19">
        <f>B41+C40</f>
        <v/>
      </c>
      <c r="D41" s="19">
        <f>C41+D40</f>
        <v/>
      </c>
      <c r="E41" s="19">
        <f>D41+E40</f>
        <v/>
      </c>
      <c r="F41" s="19">
        <f>E41+F40</f>
        <v/>
      </c>
      <c r="G41" s="19">
        <f>F41+G40</f>
        <v/>
      </c>
      <c r="H41" s="19">
        <f>G41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6" customHeight="1">
      <c r="A1" s="1" t="inlineStr">
        <is>
          <t>6-MONTH P&amp;L — Stretch Case (510 kits)</t>
        </is>
      </c>
    </row>
    <row r="2">
      <c r="A2" s="8" t="inlineStr">
        <is>
          <t>v3 / Option 4 / v2.3 — figures linked to Assumptions sheet</t>
        </is>
      </c>
    </row>
    <row r="4">
      <c r="A4" t="inlineStr"/>
      <c r="B4" s="3" t="inlineStr">
        <is>
          <t>M1</t>
        </is>
      </c>
      <c r="C4" s="3" t="inlineStr">
        <is>
          <t>M2</t>
        </is>
      </c>
      <c r="D4" s="3" t="inlineStr">
        <is>
          <t>M3</t>
        </is>
      </c>
      <c r="E4" s="3" t="inlineStr">
        <is>
          <t>M4</t>
        </is>
      </c>
      <c r="F4" s="3" t="inlineStr">
        <is>
          <t>M5</t>
        </is>
      </c>
      <c r="G4" s="3" t="inlineStr">
        <is>
          <t>M6</t>
        </is>
      </c>
      <c r="H4" s="3" t="inlineStr">
        <is>
          <t>6-mo Total</t>
        </is>
      </c>
    </row>
    <row r="5">
      <c r="A5" t="inlineStr">
        <is>
          <t>Kit 1 sales</t>
        </is>
      </c>
      <c r="B5" t="n">
        <v>11</v>
      </c>
      <c r="C5" t="n">
        <v>19</v>
      </c>
      <c r="D5" t="n">
        <v>30</v>
      </c>
      <c r="E5" t="n">
        <v>41</v>
      </c>
      <c r="F5" t="n">
        <v>49</v>
      </c>
      <c r="G5" t="n">
        <v>54</v>
      </c>
      <c r="H5">
        <f>SUM(B5:G5)</f>
        <v/>
      </c>
    </row>
    <row r="6">
      <c r="A6" t="inlineStr">
        <is>
          <t>Kit 2 sales</t>
        </is>
      </c>
      <c r="B6" t="n">
        <v>11</v>
      </c>
      <c r="C6" t="n">
        <v>19</v>
      </c>
      <c r="D6" t="n">
        <v>30</v>
      </c>
      <c r="E6" t="n">
        <v>41</v>
      </c>
      <c r="F6" t="n">
        <v>49</v>
      </c>
      <c r="G6" t="n">
        <v>54</v>
      </c>
      <c r="H6">
        <f>SUM(B6:G6)</f>
        <v/>
      </c>
    </row>
    <row r="7">
      <c r="A7" t="inlineStr">
        <is>
          <t>Kit 3 sales</t>
        </is>
      </c>
      <c r="B7" t="n">
        <v>5</v>
      </c>
      <c r="C7" t="n">
        <v>10</v>
      </c>
      <c r="D7" t="n">
        <v>15</v>
      </c>
      <c r="E7" t="n">
        <v>20</v>
      </c>
      <c r="F7" t="n">
        <v>24</v>
      </c>
      <c r="G7" t="n">
        <v>28</v>
      </c>
      <c r="H7">
        <f>SUM(B7:G7)</f>
        <v/>
      </c>
    </row>
    <row r="8">
      <c r="A8" t="inlineStr">
        <is>
          <t>Total kits</t>
        </is>
      </c>
      <c r="B8">
        <f>SUM(B5:B7)</f>
        <v/>
      </c>
      <c r="C8">
        <f>SUM(C5:C7)</f>
        <v/>
      </c>
      <c r="D8">
        <f>SUM(D5:D7)</f>
        <v/>
      </c>
      <c r="E8">
        <f>SUM(E5:E7)</f>
        <v/>
      </c>
      <c r="F8">
        <f>SUM(F5:F7)</f>
        <v/>
      </c>
      <c r="G8">
        <f>SUM(G5:G7)</f>
        <v/>
      </c>
      <c r="H8">
        <f>SUM(B8:G8)</f>
        <v/>
      </c>
    </row>
    <row r="10">
      <c r="A10" s="7" t="inlineStr">
        <is>
          <t>KIT GROSS PROFIT (using blended kit net from Assumptions)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t="inlineStr">
        <is>
          <t>Kit 1 blended net £</t>
        </is>
      </c>
      <c r="B11" s="22">
        <f>B5*Assumptions!B76</f>
        <v/>
      </c>
      <c r="C11" s="22">
        <f>C5*Assumptions!B76</f>
        <v/>
      </c>
      <c r="D11" s="22">
        <f>D5*Assumptions!B76</f>
        <v/>
      </c>
      <c r="E11" s="22">
        <f>E5*Assumptions!B76</f>
        <v/>
      </c>
      <c r="F11" s="22">
        <f>F5*Assumptions!B76</f>
        <v/>
      </c>
      <c r="G11" s="22">
        <f>G5*Assumptions!B76</f>
        <v/>
      </c>
      <c r="H11" s="22">
        <f>SUM(B11:G11)</f>
        <v/>
      </c>
    </row>
    <row r="12">
      <c r="A12" t="inlineStr">
        <is>
          <t>Kit 2 blended net £</t>
        </is>
      </c>
      <c r="B12" s="22">
        <f>B6*Assumptions!C76</f>
        <v/>
      </c>
      <c r="C12" s="22">
        <f>C6*Assumptions!C76</f>
        <v/>
      </c>
      <c r="D12" s="22">
        <f>D6*Assumptions!C76</f>
        <v/>
      </c>
      <c r="E12" s="22">
        <f>E6*Assumptions!C76</f>
        <v/>
      </c>
      <c r="F12" s="22">
        <f>F6*Assumptions!C76</f>
        <v/>
      </c>
      <c r="G12" s="22">
        <f>G6*Assumptions!C76</f>
        <v/>
      </c>
      <c r="H12" s="22">
        <f>SUM(B12:G12)</f>
        <v/>
      </c>
    </row>
    <row r="13">
      <c r="A13" t="inlineStr">
        <is>
          <t>Kit 3 blended net £</t>
        </is>
      </c>
      <c r="B13" s="22">
        <f>B7*Assumptions!D76</f>
        <v/>
      </c>
      <c r="C13" s="22">
        <f>C7*Assumptions!D76</f>
        <v/>
      </c>
      <c r="D13" s="22">
        <f>D7*Assumptions!D76</f>
        <v/>
      </c>
      <c r="E13" s="22">
        <f>E7*Assumptions!D76</f>
        <v/>
      </c>
      <c r="F13" s="22">
        <f>F7*Assumptions!D76</f>
        <v/>
      </c>
      <c r="G13" s="22">
        <f>G7*Assumptions!D76</f>
        <v/>
      </c>
      <c r="H13" s="22">
        <f>SUM(B13:G13)</f>
        <v/>
      </c>
    </row>
    <row r="14">
      <c r="A14" s="18" t="inlineStr">
        <is>
          <t>TOTAL KIT GROSS</t>
        </is>
      </c>
      <c r="B14" s="19">
        <f>SUM(B11:B13)</f>
        <v/>
      </c>
      <c r="C14" s="19">
        <f>SUM(C11:C13)</f>
        <v/>
      </c>
      <c r="D14" s="19">
        <f>SUM(D11:D13)</f>
        <v/>
      </c>
      <c r="E14" s="19">
        <f>SUM(E11:E13)</f>
        <v/>
      </c>
      <c r="F14" s="19">
        <f>SUM(F11:F13)</f>
        <v/>
      </c>
      <c r="G14" s="19">
        <f>SUM(G11:G13)</f>
        <v/>
      </c>
      <c r="H14" s="19">
        <f>SUM(H11:H13)</f>
        <v/>
      </c>
    </row>
    <row r="16">
      <c r="A16" s="7" t="inlineStr">
        <is>
          <t>SUPPLEMENT SUBSCRIBERS (4-mo trailing active)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t="inlineStr">
        <is>
          <t>New Daily Stack subs (15% of all kits)</t>
        </is>
      </c>
      <c r="B17" s="23">
        <f>B8*Assumptions!B31</f>
        <v/>
      </c>
      <c r="C17" s="23">
        <f>C8*Assumptions!B31</f>
        <v/>
      </c>
      <c r="D17" s="23">
        <f>D8*Assumptions!B31</f>
        <v/>
      </c>
      <c r="E17" s="23">
        <f>E8*Assumptions!B31</f>
        <v/>
      </c>
      <c r="F17" s="23">
        <f>F8*Assumptions!B31</f>
        <v/>
      </c>
      <c r="G17" s="23">
        <f>G8*Assumptions!B31</f>
        <v/>
      </c>
      <c r="H17" s="23">
        <f>SUM(B17:G17)</f>
        <v/>
      </c>
    </row>
    <row r="18">
      <c r="A18" t="inlineStr">
        <is>
          <t>Active Daily Stack (4-mo trailing)</t>
        </is>
      </c>
      <c r="B18" s="23">
        <f>B17</f>
        <v/>
      </c>
      <c r="C18" s="23">
        <f>B17+C17</f>
        <v/>
      </c>
      <c r="D18" s="23">
        <f>B17+C17+D17</f>
        <v/>
      </c>
      <c r="E18" s="23">
        <f>B17+C17+D17+E17</f>
        <v/>
      </c>
      <c r="F18" s="23">
        <f>C17+D17+E17+F17</f>
        <v/>
      </c>
      <c r="G18" s="23">
        <f>D17+E17+F17+G17</f>
        <v/>
      </c>
      <c r="H18" s="23">
        <f>G18</f>
        <v/>
      </c>
    </row>
    <row r="19">
      <c r="A19" t="inlineStr">
        <is>
          <t>New Collagen subs (15% of Kit 2)</t>
        </is>
      </c>
      <c r="B19" s="23">
        <f>B6*Assumptions!B32</f>
        <v/>
      </c>
      <c r="C19" s="23">
        <f>C6*Assumptions!B32</f>
        <v/>
      </c>
      <c r="D19" s="23">
        <f>D6*Assumptions!B32</f>
        <v/>
      </c>
      <c r="E19" s="23">
        <f>E6*Assumptions!B32</f>
        <v/>
      </c>
      <c r="F19" s="23">
        <f>F6*Assumptions!B32</f>
        <v/>
      </c>
      <c r="G19" s="23">
        <f>G6*Assumptions!B32</f>
        <v/>
      </c>
      <c r="H19" s="23">
        <f>SUM(B19:G19)</f>
        <v/>
      </c>
    </row>
    <row r="20">
      <c r="A20" t="inlineStr">
        <is>
          <t>Active Collagen (4-mo trailing)</t>
        </is>
      </c>
      <c r="B20" s="23">
        <f>B19</f>
        <v/>
      </c>
      <c r="C20" s="23">
        <f>B19+C19</f>
        <v/>
      </c>
      <c r="D20" s="23">
        <f>B19+C19+D19</f>
        <v/>
      </c>
      <c r="E20" s="23">
        <f>B19+C19+D19+E19</f>
        <v/>
      </c>
      <c r="F20" s="23">
        <f>C19+D19+E19+F19</f>
        <v/>
      </c>
      <c r="G20" s="23">
        <f>D19+E19+F19+G19</f>
        <v/>
      </c>
      <c r="H20" s="23">
        <f>G20</f>
        <v/>
      </c>
    </row>
    <row r="22">
      <c r="A22" s="7" t="inlineStr">
        <is>
          <t>SUPPLEMENT NET CONTRIBUTION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t="inlineStr">
        <is>
          <t>Daily Stack net £</t>
        </is>
      </c>
      <c r="B23" s="22">
        <f>B18*Assumptions!B83+B17*Assumptions!B85</f>
        <v/>
      </c>
      <c r="C23" s="22">
        <f>C18*Assumptions!B83+C17*Assumptions!B85</f>
        <v/>
      </c>
      <c r="D23" s="22">
        <f>D18*Assumptions!B83+D17*Assumptions!B85</f>
        <v/>
      </c>
      <c r="E23" s="22">
        <f>E18*Assumptions!B83+E17*Assumptions!B85</f>
        <v/>
      </c>
      <c r="F23" s="22">
        <f>F18*Assumptions!B83+F17*Assumptions!B85</f>
        <v/>
      </c>
      <c r="G23" s="22">
        <f>G18*Assumptions!B83+G17*Assumptions!B85</f>
        <v/>
      </c>
      <c r="H23" s="22">
        <f>SUM(B23:G23)</f>
        <v/>
      </c>
    </row>
    <row r="24">
      <c r="A24" t="inlineStr">
        <is>
          <t>Collagen net £</t>
        </is>
      </c>
      <c r="B24" s="22">
        <f>B20*(Assumptions!C18*(1-Assumptions!B24)-Assumptions!B18)+B19*-5</f>
        <v/>
      </c>
      <c r="C24" s="22">
        <f>C20*(Assumptions!C18*(1-Assumptions!B24)-Assumptions!B18)+C19*-5</f>
        <v/>
      </c>
      <c r="D24" s="22">
        <f>D20*(Assumptions!C18*(1-Assumptions!B24)-Assumptions!B18)+D19*-5</f>
        <v/>
      </c>
      <c r="E24" s="22">
        <f>E20*(Assumptions!C18*(1-Assumptions!B24)-Assumptions!B18)+E19*-5</f>
        <v/>
      </c>
      <c r="F24" s="22">
        <f>F20*(Assumptions!C18*(1-Assumptions!B24)-Assumptions!B18)+F19*-5</f>
        <v/>
      </c>
      <c r="G24" s="22">
        <f>G20*(Assumptions!C18*(1-Assumptions!B24)-Assumptions!B18)+G19*-5</f>
        <v/>
      </c>
      <c r="H24" s="22">
        <f>SUM(B24:G24)</f>
        <v/>
      </c>
    </row>
    <row r="25">
      <c r="A25" s="18" t="inlineStr">
        <is>
          <t>TOTAL SUPPLEMENT NET</t>
        </is>
      </c>
      <c r="B25" s="19">
        <f>B23+B24</f>
        <v/>
      </c>
      <c r="C25" s="19">
        <f>C23+C24</f>
        <v/>
      </c>
      <c r="D25" s="19">
        <f>D23+D24</f>
        <v/>
      </c>
      <c r="E25" s="19">
        <f>E23+E24</f>
        <v/>
      </c>
      <c r="F25" s="19">
        <f>F23+F24</f>
        <v/>
      </c>
      <c r="G25" s="19">
        <f>G23+G24</f>
        <v/>
      </c>
      <c r="H25" s="19">
        <f>H23+H24</f>
        <v/>
      </c>
    </row>
    <row r="27">
      <c r="A27" s="7" t="inlineStr">
        <is>
          <t>TOTAL CONTRIBUTION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t="inlineStr">
        <is>
          <t>Total contribution</t>
        </is>
      </c>
      <c r="B28" s="19">
        <f>B14+B25</f>
        <v/>
      </c>
      <c r="C28" s="19">
        <f>C14+C25</f>
        <v/>
      </c>
      <c r="D28" s="19">
        <f>D14+D25</f>
        <v/>
      </c>
      <c r="E28" s="19">
        <f>E14+E25</f>
        <v/>
      </c>
      <c r="F28" s="19">
        <f>F14+F25</f>
        <v/>
      </c>
      <c r="G28" s="19">
        <f>G14+G25</f>
        <v/>
      </c>
      <c r="H28" s="19">
        <f>H14+H25</f>
        <v/>
      </c>
    </row>
    <row r="30">
      <c r="A30" s="7" t="inlineStr">
        <is>
          <t>OPERATING EXPENSES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9" t="inlineStr">
        <is>
          <t>Fixed overhead</t>
        </is>
      </c>
      <c r="B31" s="22" t="n">
        <v>-593</v>
      </c>
      <c r="C31" s="22" t="n">
        <v>-593</v>
      </c>
      <c r="D31" s="22" t="n">
        <v>-593</v>
      </c>
      <c r="E31" s="22" t="n">
        <v>-593</v>
      </c>
      <c r="F31" s="22" t="n">
        <v>-593</v>
      </c>
      <c r="G31" s="22" t="n">
        <v>-593</v>
      </c>
      <c r="H31" s="22">
        <f>SUM(B31:G31)</f>
        <v/>
      </c>
    </row>
    <row r="32">
      <c r="A32" s="9" t="inlineStr">
        <is>
          <t>Free kits (M1 only)</t>
        </is>
      </c>
      <c r="B32" s="22" t="n">
        <v>-1750</v>
      </c>
      <c r="C32" s="22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>
        <f>SUM(B32:G32)</f>
        <v/>
      </c>
    </row>
    <row r="33">
      <c r="A33" s="9" t="inlineStr">
        <is>
          <t>Gym partnership free kits</t>
        </is>
      </c>
      <c r="B33" s="22" t="n">
        <v>-630</v>
      </c>
      <c r="C33" s="22" t="n">
        <v>-630</v>
      </c>
      <c r="D33" s="22" t="n">
        <v>-630</v>
      </c>
      <c r="E33" s="22" t="n">
        <v>0</v>
      </c>
      <c r="F33" s="22" t="n">
        <v>0</v>
      </c>
      <c r="G33" s="22" t="n">
        <v>0</v>
      </c>
      <c r="H33" s="22">
        <f>SUM(B33:G33)</f>
        <v/>
      </c>
    </row>
    <row r="34">
      <c r="A34" s="9" t="inlineStr">
        <is>
          <t>PT bonuses + contests (v2.3)</t>
        </is>
      </c>
      <c r="B34" s="22" t="n">
        <v>0</v>
      </c>
      <c r="C34" s="22" t="n">
        <v>0</v>
      </c>
      <c r="D34" s="22" t="n">
        <v>-1000</v>
      </c>
      <c r="E34" s="22" t="n">
        <v>0</v>
      </c>
      <c r="F34" s="22" t="n">
        <v>0</v>
      </c>
      <c r="G34" s="22" t="n">
        <v>-3000</v>
      </c>
      <c r="H34" s="22">
        <f>SUM(B34:G34)</f>
        <v/>
      </c>
    </row>
    <row r="35">
      <c r="A35" s="9" t="inlineStr">
        <is>
          <t>Tier graduation bonuses</t>
        </is>
      </c>
      <c r="B35" s="22" t="n">
        <v>0</v>
      </c>
      <c r="C35" s="22" t="n">
        <v>0</v>
      </c>
      <c r="D35" s="22" t="n">
        <v>0</v>
      </c>
      <c r="E35" s="22" t="n">
        <v>-200</v>
      </c>
      <c r="F35" s="22" t="n">
        <v>-600</v>
      </c>
      <c r="G35" s="22" t="n">
        <v>-600</v>
      </c>
      <c r="H35" s="22">
        <f>SUM(B35:G35)</f>
        <v/>
      </c>
    </row>
    <row r="36">
      <c r="A36" s="9" t="inlineStr">
        <is>
          <t>Flagship per-piece content</t>
        </is>
      </c>
      <c r="B36" s="22" t="n">
        <v>-500</v>
      </c>
      <c r="C36" s="22" t="n">
        <v>-500</v>
      </c>
      <c r="D36" s="22" t="n">
        <v>-500</v>
      </c>
      <c r="E36" s="22" t="n">
        <v>-500</v>
      </c>
      <c r="F36" s="22" t="n">
        <v>-500</v>
      </c>
      <c r="G36" s="22" t="n">
        <v>-500</v>
      </c>
      <c r="H36" s="22">
        <f>SUM(B36:G36)</f>
        <v/>
      </c>
    </row>
    <row r="37">
      <c r="A37" s="9" t="inlineStr">
        <is>
          <t>FirstPromoter + assets</t>
        </is>
      </c>
      <c r="B37" s="22" t="n">
        <v>-200</v>
      </c>
      <c r="C37" s="22" t="n">
        <v>-200</v>
      </c>
      <c r="D37" s="22" t="n">
        <v>-200</v>
      </c>
      <c r="E37" s="22" t="n">
        <v>-200</v>
      </c>
      <c r="F37" s="22" t="n">
        <v>-200</v>
      </c>
      <c r="G37" s="22" t="n">
        <v>-200</v>
      </c>
      <c r="H37" s="22">
        <f>SUM(B37:G37)</f>
        <v/>
      </c>
    </row>
    <row r="38">
      <c r="A38" s="18" t="inlineStr">
        <is>
          <t>TOTAL OPEX</t>
        </is>
      </c>
      <c r="B38" s="19">
        <f>SUM(B31:B37)</f>
        <v/>
      </c>
      <c r="C38" s="19">
        <f>SUM(C31:C37)</f>
        <v/>
      </c>
      <c r="D38" s="19">
        <f>SUM(D31:D37)</f>
        <v/>
      </c>
      <c r="E38" s="19">
        <f>SUM(E31:E37)</f>
        <v/>
      </c>
      <c r="F38" s="19">
        <f>SUM(F31:F37)</f>
        <v/>
      </c>
      <c r="G38" s="19">
        <f>SUM(G31:G37)</f>
        <v/>
      </c>
      <c r="H38" s="19">
        <f>SUM(H31:H37)</f>
        <v/>
      </c>
    </row>
    <row r="40">
      <c r="A40" s="18" t="inlineStr">
        <is>
          <t>NET CONTRIBUTION</t>
        </is>
      </c>
      <c r="B40" s="19">
        <f>B28+B38</f>
        <v/>
      </c>
      <c r="C40" s="19">
        <f>C28+C38</f>
        <v/>
      </c>
      <c r="D40" s="19">
        <f>D28+D38</f>
        <v/>
      </c>
      <c r="E40" s="19">
        <f>E28+E38</f>
        <v/>
      </c>
      <c r="F40" s="19">
        <f>F28+F38</f>
        <v/>
      </c>
      <c r="G40" s="19">
        <f>G28+G38</f>
        <v/>
      </c>
      <c r="H40" s="19">
        <f>H28+H38</f>
        <v/>
      </c>
    </row>
    <row r="41">
      <c r="A41" s="18" t="inlineStr">
        <is>
          <t>CUMULATIVE CASH (P&amp;L)</t>
        </is>
      </c>
      <c r="B41" s="19">
        <f>B40</f>
        <v/>
      </c>
      <c r="C41" s="19">
        <f>B41+C40</f>
        <v/>
      </c>
      <c r="D41" s="19">
        <f>C41+D40</f>
        <v/>
      </c>
      <c r="E41" s="19">
        <f>D41+E40</f>
        <v/>
      </c>
      <c r="F41" s="19">
        <f>E41+F40</f>
        <v/>
      </c>
      <c r="G41" s="19">
        <f>F41+G40</f>
        <v/>
      </c>
      <c r="H41" s="19">
        <f>G41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6" customHeight="1">
      <c r="A1" s="1" t="inlineStr">
        <is>
          <t>12-MONTH PROJECTION — Planning Case</t>
        </is>
      </c>
    </row>
    <row r="2">
      <c r="A2" s="8" t="inlineStr">
        <is>
          <t>v3 extrapolation: H2 ramp M7-M12 = 130/140/150/160/170/180 kits.</t>
        </is>
      </c>
    </row>
    <row r="4">
      <c r="A4" s="7" t="inlineStr">
        <is>
          <t>H2 (M7-M12) — VOLUME &amp; GROSS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>
      <c r="A5" t="inlineStr"/>
      <c r="B5" s="3" t="inlineStr">
        <is>
          <t>M7</t>
        </is>
      </c>
      <c r="C5" s="3" t="inlineStr">
        <is>
          <t>M8</t>
        </is>
      </c>
      <c r="D5" s="3" t="inlineStr">
        <is>
          <t>M9</t>
        </is>
      </c>
      <c r="E5" s="3" t="inlineStr">
        <is>
          <t>M10</t>
        </is>
      </c>
      <c r="F5" s="3" t="inlineStr">
        <is>
          <t>M11</t>
        </is>
      </c>
      <c r="G5" s="3" t="inlineStr">
        <is>
          <t>M12</t>
        </is>
      </c>
      <c r="H5" s="3" t="inlineStr">
        <is>
          <t>H2 Total</t>
        </is>
      </c>
      <c r="I5" s="3" t="inlineStr">
        <is>
          <t>H1 Total</t>
        </is>
      </c>
      <c r="J5" s="3" t="inlineStr">
        <is>
          <t>12-mo Total</t>
        </is>
      </c>
    </row>
    <row r="6">
      <c r="A6" t="inlineStr">
        <is>
          <t>Kit 1 sales</t>
        </is>
      </c>
      <c r="B6" t="n">
        <v>52</v>
      </c>
      <c r="C6" t="n">
        <v>56</v>
      </c>
      <c r="D6" t="n">
        <v>60</v>
      </c>
      <c r="E6" t="n">
        <v>64</v>
      </c>
      <c r="F6" t="n">
        <v>68</v>
      </c>
      <c r="G6" t="n">
        <v>72</v>
      </c>
      <c r="H6">
        <f>SUM(B6:G6)</f>
        <v/>
      </c>
      <c r="I6" t="n">
        <v>180</v>
      </c>
      <c r="J6">
        <f>H6+I6</f>
        <v/>
      </c>
    </row>
    <row r="7">
      <c r="A7" t="inlineStr">
        <is>
          <t>Kit 2 sales</t>
        </is>
      </c>
      <c r="B7" t="n">
        <v>52</v>
      </c>
      <c r="C7" t="n">
        <v>56</v>
      </c>
      <c r="D7" t="n">
        <v>60</v>
      </c>
      <c r="E7" t="n">
        <v>64</v>
      </c>
      <c r="F7" t="n">
        <v>68</v>
      </c>
      <c r="G7" t="n">
        <v>72</v>
      </c>
      <c r="H7">
        <f>SUM(B7:G7)</f>
        <v/>
      </c>
      <c r="I7" t="n">
        <v>180</v>
      </c>
      <c r="J7">
        <f>H7+I7</f>
        <v/>
      </c>
    </row>
    <row r="8">
      <c r="A8" t="inlineStr">
        <is>
          <t>Kit 3 sales</t>
        </is>
      </c>
      <c r="B8" t="n">
        <v>26</v>
      </c>
      <c r="C8" t="n">
        <v>28</v>
      </c>
      <c r="D8" t="n">
        <v>30</v>
      </c>
      <c r="E8" t="n">
        <v>32</v>
      </c>
      <c r="F8" t="n">
        <v>34</v>
      </c>
      <c r="G8" t="n">
        <v>36</v>
      </c>
      <c r="H8">
        <f>SUM(B8:G8)</f>
        <v/>
      </c>
      <c r="I8" t="n">
        <v>90</v>
      </c>
      <c r="J8">
        <f>H8+I8</f>
        <v/>
      </c>
    </row>
    <row r="9">
      <c r="A9" t="inlineStr">
        <is>
          <t>Total kits</t>
        </is>
      </c>
      <c r="B9">
        <f>SUM(B6:B8)</f>
        <v/>
      </c>
      <c r="C9">
        <f>SUM(C6:C8)</f>
        <v/>
      </c>
      <c r="D9">
        <f>SUM(D6:D8)</f>
        <v/>
      </c>
      <c r="E9">
        <f>SUM(E6:E8)</f>
        <v/>
      </c>
      <c r="F9">
        <f>SUM(F6:F8)</f>
        <v/>
      </c>
      <c r="G9">
        <f>SUM(G6:G8)</f>
        <v/>
      </c>
      <c r="H9">
        <f>SUM(B9:G9)</f>
        <v/>
      </c>
      <c r="I9" t="n">
        <v>450</v>
      </c>
      <c r="J9">
        <f>H9+I9</f>
        <v/>
      </c>
    </row>
    <row r="11">
      <c r="A11" t="inlineStr">
        <is>
          <t>Kit 1 gross</t>
        </is>
      </c>
      <c r="B11" s="22">
        <f>B6*Assumptions!B76</f>
        <v/>
      </c>
      <c r="C11" s="22">
        <f>C6*Assumptions!B76</f>
        <v/>
      </c>
      <c r="D11" s="22">
        <f>D6*Assumptions!B76</f>
        <v/>
      </c>
      <c r="E11" s="22">
        <f>E6*Assumptions!B76</f>
        <v/>
      </c>
      <c r="F11" s="22">
        <f>F6*Assumptions!B76</f>
        <v/>
      </c>
      <c r="G11" s="22">
        <f>G6*Assumptions!B76</f>
        <v/>
      </c>
      <c r="H11" s="22">
        <f>SUM(B11:G11)</f>
        <v/>
      </c>
      <c r="I11" s="22" t="n">
        <v>4626</v>
      </c>
      <c r="J11" s="22">
        <f>H11+I11</f>
        <v/>
      </c>
    </row>
    <row r="12">
      <c r="A12" t="inlineStr">
        <is>
          <t>Kit 2 gross</t>
        </is>
      </c>
      <c r="B12" s="22">
        <f>B7*Assumptions!C76</f>
        <v/>
      </c>
      <c r="C12" s="22">
        <f>C7*Assumptions!C76</f>
        <v/>
      </c>
      <c r="D12" s="22">
        <f>D7*Assumptions!C76</f>
        <v/>
      </c>
      <c r="E12" s="22">
        <f>E7*Assumptions!C76</f>
        <v/>
      </c>
      <c r="F12" s="22">
        <f>F7*Assumptions!C76</f>
        <v/>
      </c>
      <c r="G12" s="22">
        <f>G7*Assumptions!C76</f>
        <v/>
      </c>
      <c r="H12" s="22">
        <f>SUM(B12:G12)</f>
        <v/>
      </c>
      <c r="I12" s="22" t="n">
        <v>7149.6</v>
      </c>
      <c r="J12" s="22">
        <f>H12+I12</f>
        <v/>
      </c>
    </row>
    <row r="13">
      <c r="A13" t="inlineStr">
        <is>
          <t>Kit 3 gross</t>
        </is>
      </c>
      <c r="B13" s="22">
        <f>B8*Assumptions!D76</f>
        <v/>
      </c>
      <c r="C13" s="22">
        <f>C8*Assumptions!D76</f>
        <v/>
      </c>
      <c r="D13" s="22">
        <f>D8*Assumptions!D76</f>
        <v/>
      </c>
      <c r="E13" s="22">
        <f>E8*Assumptions!D76</f>
        <v/>
      </c>
      <c r="F13" s="22">
        <f>F8*Assumptions!D76</f>
        <v/>
      </c>
      <c r="G13" s="22">
        <f>G8*Assumptions!D76</f>
        <v/>
      </c>
      <c r="H13" s="22">
        <f>SUM(B13:G13)</f>
        <v/>
      </c>
      <c r="I13" s="22" t="n">
        <v>4977</v>
      </c>
      <c r="J13" s="22">
        <f>H13+I13</f>
        <v/>
      </c>
    </row>
    <row r="14">
      <c r="A14" s="18" t="inlineStr">
        <is>
          <t>TOTAL KIT GROSS</t>
        </is>
      </c>
      <c r="B14" s="24">
        <f>SUM(B11:B13)</f>
        <v/>
      </c>
      <c r="C14" s="24">
        <f>SUM(C11:C13)</f>
        <v/>
      </c>
      <c r="D14" s="24">
        <f>SUM(D11:D13)</f>
        <v/>
      </c>
      <c r="E14" s="24">
        <f>SUM(E11:E13)</f>
        <v/>
      </c>
      <c r="F14" s="24">
        <f>SUM(F11:F13)</f>
        <v/>
      </c>
      <c r="G14" s="24">
        <f>SUM(G11:G13)</f>
        <v/>
      </c>
      <c r="H14" s="22">
        <f>SUM(B14:G14)</f>
        <v/>
      </c>
      <c r="I14" s="22" t="n">
        <v>16752.6</v>
      </c>
      <c r="J14" s="24">
        <f>H14+I14</f>
        <v/>
      </c>
    </row>
    <row r="16">
      <c r="A16" s="7" t="inlineStr">
        <is>
          <t>SUPPLEMENT NET — H2 SUMMARY (from v3 markdown §7.3)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</row>
    <row r="17">
      <c r="A17" t="inlineStr">
        <is>
          <t>Daily Stack net H2</t>
        </is>
      </c>
      <c r="B17" s="22" t="n">
        <v>1386.28</v>
      </c>
      <c r="C17" s="22" t="n">
        <v>1544.38</v>
      </c>
      <c r="D17" s="22" t="n">
        <v>1675.98</v>
      </c>
      <c r="E17" s="22" t="n">
        <v>1800.96</v>
      </c>
      <c r="F17" s="22" t="n">
        <v>1925.94</v>
      </c>
      <c r="G17" s="22" t="n">
        <v>2050.92</v>
      </c>
      <c r="H17" s="22">
        <f>SUM(B17:G17)</f>
        <v/>
      </c>
      <c r="I17" s="22" t="n">
        <v>3398</v>
      </c>
      <c r="J17" s="22">
        <f>H17+I17</f>
        <v/>
      </c>
    </row>
    <row r="18">
      <c r="A18" t="inlineStr">
        <is>
          <t>Collagen net H2</t>
        </is>
      </c>
      <c r="B18" s="22" t="n">
        <v>395.97</v>
      </c>
      <c r="C18" s="22" t="n">
        <v>441.57</v>
      </c>
      <c r="D18" s="22" t="n">
        <v>479.88</v>
      </c>
      <c r="E18" s="22" t="n">
        <v>515.76</v>
      </c>
      <c r="F18" s="22" t="n">
        <v>551.64</v>
      </c>
      <c r="G18" s="22" t="n">
        <v>587.52</v>
      </c>
      <c r="H18" s="22">
        <f>SUM(B18:G18)</f>
        <v/>
      </c>
      <c r="I18" s="22" t="n">
        <v>962</v>
      </c>
      <c r="J18" s="22">
        <f>H18+I18</f>
        <v/>
      </c>
    </row>
    <row r="19">
      <c r="A19" s="18" t="inlineStr">
        <is>
          <t>TOTAL SUPPLEMENT NET</t>
        </is>
      </c>
      <c r="B19" s="19">
        <f>B17+B18</f>
        <v/>
      </c>
      <c r="C19" s="19">
        <f>C17+C18</f>
        <v/>
      </c>
      <c r="D19" s="19">
        <f>D17+D18</f>
        <v/>
      </c>
      <c r="E19" s="19">
        <f>E17+E18</f>
        <v/>
      </c>
      <c r="F19" s="19">
        <f>F17+F18</f>
        <v/>
      </c>
      <c r="G19" s="19">
        <f>G17+G18</f>
        <v/>
      </c>
      <c r="H19" s="19">
        <f>H17+H18</f>
        <v/>
      </c>
      <c r="I19" s="19">
        <f>I17+I18</f>
        <v/>
      </c>
      <c r="J19" s="19">
        <f>J17+J18</f>
        <v/>
      </c>
    </row>
    <row r="21">
      <c r="A21" s="7" t="inlineStr">
        <is>
          <t>12-MONTH P&amp;L SUMMARY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t="inlineStr">
        <is>
          <t>Total contribution</t>
        </is>
      </c>
      <c r="B22" s="19">
        <f>B14+B19</f>
        <v/>
      </c>
      <c r="C22" s="19">
        <f>C14+C19</f>
        <v/>
      </c>
      <c r="D22" s="19">
        <f>D14+D19</f>
        <v/>
      </c>
      <c r="E22" s="19">
        <f>E14+E19</f>
        <v/>
      </c>
      <c r="F22" s="19">
        <f>F14+F19</f>
        <v/>
      </c>
      <c r="G22" s="19">
        <f>G14+G19</f>
        <v/>
      </c>
      <c r="H22" s="19">
        <f>H14+H19</f>
        <v/>
      </c>
      <c r="I22" s="19">
        <f>I14+I19</f>
        <v/>
      </c>
      <c r="J22" s="19">
        <f>J14+J19</f>
        <v/>
      </c>
    </row>
    <row r="24">
      <c r="A24" t="inlineStr">
        <is>
          <t>H2 OpEx (continuation profile)</t>
        </is>
      </c>
    </row>
    <row r="25">
      <c r="A25" t="inlineStr">
        <is>
          <t xml:space="preserve">  Fixed overhead (£593 × 6)</t>
        </is>
      </c>
      <c r="H25" s="22" t="n">
        <v>-3558</v>
      </c>
    </row>
    <row r="26">
      <c r="A26" t="inlineStr">
        <is>
          <t xml:space="preserve">  FirstPromoter + assets (£200 × 6)</t>
        </is>
      </c>
      <c r="H26" s="22" t="n">
        <v>-1200</v>
      </c>
    </row>
    <row r="27">
      <c r="A27" t="inlineStr">
        <is>
          <t xml:space="preserve">  Flagship per-piece content</t>
        </is>
      </c>
      <c r="H27" s="22" t="n">
        <v>-3000</v>
      </c>
    </row>
    <row r="28">
      <c r="A28" t="inlineStr">
        <is>
          <t xml:space="preserve">  PT bonuses + contests (Q3 + Q4)</t>
        </is>
      </c>
      <c r="H28" s="22" t="n">
        <v>-2000</v>
      </c>
    </row>
    <row r="29">
      <c r="A29" t="inlineStr">
        <is>
          <t xml:space="preserve">  Tier graduation bonuses</t>
        </is>
      </c>
      <c r="H29" s="22" t="n">
        <v>-1400</v>
      </c>
    </row>
    <row r="30">
      <c r="A30" t="inlineStr">
        <is>
          <t xml:space="preserve">  Gym partnership second wave (planning)</t>
        </is>
      </c>
      <c r="H30" s="22" t="n">
        <v>-1890</v>
      </c>
    </row>
    <row r="31">
      <c r="A31" s="18" t="inlineStr">
        <is>
          <t>H2 OpEx TOTAL</t>
        </is>
      </c>
      <c r="H31" s="19">
        <f>SUM(H25:H30)</f>
        <v/>
      </c>
      <c r="I31" s="22" t="n">
        <v>-16798</v>
      </c>
      <c r="J31" s="22">
        <f>H31+I31</f>
        <v/>
      </c>
    </row>
    <row r="33">
      <c r="A33" s="18" t="inlineStr">
        <is>
          <t>NET CONTRIBUTION (period)</t>
        </is>
      </c>
      <c r="H33" s="19">
        <f>H22+H31</f>
        <v/>
      </c>
      <c r="I33" s="19">
        <f>I22+I31</f>
        <v/>
      </c>
      <c r="J33" s="19">
        <f>H33+I33</f>
        <v/>
      </c>
    </row>
    <row r="35">
      <c r="A35" s="18" t="inlineStr">
        <is>
          <t>12-MONTH CUMULATIVE CASH</t>
        </is>
      </c>
      <c r="J35" s="25">
        <f>J33</f>
        <v/>
      </c>
    </row>
    <row r="37">
      <c r="A37" t="inlineStr">
        <is>
          <t>£30k target reached?</t>
        </is>
      </c>
      <c r="B37">
        <f>IF(J33&gt;=30000,"YES — comfortably (+31% headroom at planning)","NO — review assumptions")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SENSITIVITY &amp; VARIANCE</t>
        </is>
      </c>
    </row>
    <row r="2">
      <c r="A2" s="8" t="inlineStr">
        <is>
          <t>All swings vs planning-case 6-month net contribution of +£4,315.</t>
        </is>
      </c>
    </row>
    <row r="4">
      <c r="A4" s="7" t="inlineStr">
        <is>
          <t>TENURE SENSITIVITY (largest swing variable)</t>
        </is>
      </c>
      <c r="B4" s="7" t="n"/>
      <c r="C4" s="7" t="n"/>
      <c r="D4" s="7" t="n"/>
    </row>
    <row r="5">
      <c r="A5" t="inlineStr">
        <is>
          <t>Daily Stack tenure (months)</t>
        </is>
      </c>
      <c r="B5" s="3" t="inlineStr">
        <is>
          <t>M6 active DS</t>
        </is>
      </c>
      <c r="C5" s="3" t="inlineStr">
        <is>
          <t>DS net M6</t>
        </is>
      </c>
      <c r="D5" s="3" t="inlineStr">
        <is>
          <t>6-mo net contribution</t>
        </is>
      </c>
    </row>
    <row r="6">
      <c r="A6" s="9" t="inlineStr">
        <is>
          <t>3 months</t>
        </is>
      </c>
      <c r="B6" s="23" t="n">
        <v>43.7</v>
      </c>
      <c r="C6" s="22" t="n">
        <v>965</v>
      </c>
      <c r="D6" s="22" t="n">
        <v>2048</v>
      </c>
    </row>
    <row r="7">
      <c r="A7" s="18" t="inlineStr">
        <is>
          <t>4 months (PLANNING)</t>
        </is>
      </c>
      <c r="B7" s="23" t="n">
        <v>56.7</v>
      </c>
      <c r="C7" s="22" t="n">
        <v>1162</v>
      </c>
      <c r="D7" s="22" t="n">
        <v>4315</v>
      </c>
    </row>
    <row r="8">
      <c r="A8" s="9" t="inlineStr">
        <is>
          <t>6 months</t>
        </is>
      </c>
      <c r="B8" s="23" t="n">
        <v>76.7</v>
      </c>
      <c r="C8" s="22" t="n">
        <v>1693</v>
      </c>
      <c r="D8" s="22" t="n">
        <v>8031</v>
      </c>
    </row>
    <row r="9">
      <c r="A9" s="9" t="inlineStr">
        <is>
          <t>12 months</t>
        </is>
      </c>
      <c r="B9" s="23" t="n">
        <v>117</v>
      </c>
      <c r="C9" s="22" t="n">
        <v>2584</v>
      </c>
      <c r="D9" s="22" t="n">
        <v>17698</v>
      </c>
    </row>
    <row r="11">
      <c r="A11" s="7" t="inlineStr">
        <is>
          <t>SUPPLEMENT CONVERSION SENSITIVITY</t>
        </is>
      </c>
      <c r="B11" s="7" t="n"/>
      <c r="C11" s="7" t="n"/>
      <c r="D11" s="7" t="n"/>
    </row>
    <row r="12">
      <c r="A12" t="inlineStr">
        <is>
          <t>Daily Stack conversion rate</t>
        </is>
      </c>
      <c r="B12" s="3" t="inlineStr">
        <is>
          <t>M6 active DS</t>
        </is>
      </c>
      <c r="C12" s="3" t="inlineStr">
        <is>
          <t>Supp net M6</t>
        </is>
      </c>
      <c r="D12" s="3" t="inlineStr">
        <is>
          <t>6-mo net</t>
        </is>
      </c>
    </row>
    <row r="13">
      <c r="A13" s="9" t="inlineStr">
        <is>
          <t>8%</t>
        </is>
      </c>
      <c r="B13" s="23" t="n">
        <v>30.2</v>
      </c>
      <c r="C13" s="22" t="n">
        <v>620</v>
      </c>
      <c r="D13" s="22" t="n">
        <v>1996</v>
      </c>
    </row>
    <row r="14">
      <c r="A14" s="18" t="inlineStr">
        <is>
          <t>15% (PLANNING)</t>
        </is>
      </c>
      <c r="B14" s="23" t="n">
        <v>56.7</v>
      </c>
      <c r="C14" s="22" t="n">
        <v>1498</v>
      </c>
      <c r="D14" s="22" t="n">
        <v>4315</v>
      </c>
    </row>
    <row r="15">
      <c r="A15" s="9" t="inlineStr">
        <is>
          <t>22%</t>
        </is>
      </c>
      <c r="B15" s="23" t="n">
        <v>83.2</v>
      </c>
      <c r="C15" s="22" t="n">
        <v>2376</v>
      </c>
      <c r="D15" s="22" t="n">
        <v>6634</v>
      </c>
    </row>
    <row r="17">
      <c r="A17" s="7" t="inlineStr">
        <is>
          <t>AFFILIATE-MIX SENSITIVITY</t>
        </is>
      </c>
      <c r="B17" s="7" t="n"/>
      <c r="C17" s="7" t="n"/>
      <c r="D17" s="7" t="n"/>
      <c r="E17" s="7" t="n"/>
    </row>
    <row r="18">
      <c r="A18" t="inlineStr">
        <is>
          <t>Affiliate mix (% PT-coded)</t>
        </is>
      </c>
      <c r="B18" s="3" t="inlineStr">
        <is>
          <t>K1 blended</t>
        </is>
      </c>
      <c r="C18" s="3" t="inlineStr">
        <is>
          <t>K2 blended</t>
        </is>
      </c>
      <c r="D18" s="3" t="inlineStr">
        <is>
          <t>K3 blended</t>
        </is>
      </c>
      <c r="E18" s="3" t="inlineStr">
        <is>
          <t>6-mo net Δ vs 50/50</t>
        </is>
      </c>
    </row>
    <row r="19">
      <c r="A19" s="9" t="inlineStr">
        <is>
          <t>40% PT-coded</t>
        </is>
      </c>
      <c r="B19" s="11" t="n">
        <v>28.16</v>
      </c>
      <c r="C19" s="11" t="n">
        <v>42.38</v>
      </c>
      <c r="D19" s="11" t="n">
        <v>59.54</v>
      </c>
      <c r="E19" s="26" t="n">
        <v>1303</v>
      </c>
    </row>
    <row r="20">
      <c r="A20" s="18" t="inlineStr">
        <is>
          <t>50/50 (PLANNING)</t>
        </is>
      </c>
      <c r="B20" s="11" t="n">
        <v>25.7</v>
      </c>
      <c r="C20" s="11" t="n">
        <v>39.72</v>
      </c>
      <c r="D20" s="11" t="n">
        <v>55.3</v>
      </c>
      <c r="E20" s="26" t="n">
        <v>0</v>
      </c>
    </row>
    <row r="21">
      <c r="A21" s="9" t="inlineStr">
        <is>
          <t>60% PT-coded</t>
        </is>
      </c>
      <c r="B21" s="11" t="n">
        <v>23.23</v>
      </c>
      <c r="C21" s="11" t="n">
        <v>37.06</v>
      </c>
      <c r="D21" s="11" t="n">
        <v>51.05</v>
      </c>
      <c r="E21" s="26" t="n">
        <v>-1306</v>
      </c>
    </row>
    <row r="23">
      <c r="A23" s="7" t="inlineStr">
        <is>
          <t>VARIANCE vs v2 OF THIS MODEL</t>
        </is>
      </c>
      <c r="B23" s="7" t="n"/>
      <c r="C23" s="7" t="n"/>
      <c r="D23" s="7" t="n"/>
    </row>
    <row r="24">
      <c r="A24" t="inlineStr">
        <is>
          <t>Metric</t>
        </is>
      </c>
      <c r="B24" s="3" t="inlineStr">
        <is>
          <t>v2</t>
        </is>
      </c>
      <c r="C24" s="3" t="inlineStr">
        <is>
          <t>v3</t>
        </is>
      </c>
      <c r="D24" s="3" t="inlineStr">
        <is>
          <t>Δ</t>
        </is>
      </c>
    </row>
    <row r="25">
      <c r="A25" s="9" t="inlineStr">
        <is>
          <t>Blended kit net K1</t>
        </is>
      </c>
      <c r="B25" s="11" t="n">
        <v>24.45</v>
      </c>
      <c r="C25" s="11" t="n">
        <v>25.7</v>
      </c>
      <c r="D25" s="27" t="n">
        <v>1.25</v>
      </c>
    </row>
    <row r="26">
      <c r="A26" s="9" t="inlineStr">
        <is>
          <t>Blended kit net K2</t>
        </is>
      </c>
      <c r="B26" s="11" t="n">
        <v>38.47</v>
      </c>
      <c r="C26" s="11" t="n">
        <v>39.72</v>
      </c>
      <c r="D26" s="27" t="n">
        <v>1.25</v>
      </c>
    </row>
    <row r="27">
      <c r="A27" s="9" t="inlineStr">
        <is>
          <t>Blended kit net K3</t>
        </is>
      </c>
      <c r="B27" s="11" t="n">
        <v>54.05</v>
      </c>
      <c r="C27" s="11" t="n">
        <v>55.3</v>
      </c>
      <c r="D27" s="27" t="n">
        <v>1.25</v>
      </c>
    </row>
    <row r="28">
      <c r="A28" s="9" t="inlineStr">
        <is>
          <t>6-mo kit gross (Plan)</t>
        </is>
      </c>
      <c r="B28" s="22" t="n">
        <v>16190</v>
      </c>
      <c r="C28" s="22" t="n">
        <v>16753</v>
      </c>
      <c r="D28" s="27" t="n">
        <v>563</v>
      </c>
    </row>
    <row r="29">
      <c r="A29" s="9" t="inlineStr">
        <is>
          <t>6-mo total contribution</t>
        </is>
      </c>
      <c r="B29" s="22" t="n">
        <v>20550</v>
      </c>
      <c r="C29" s="22" t="n">
        <v>21113</v>
      </c>
      <c r="D29" s="27" t="n">
        <v>563</v>
      </c>
    </row>
    <row r="30">
      <c r="A30" s="9" t="inlineStr">
        <is>
          <t>6-mo programme OpEx</t>
        </is>
      </c>
      <c r="B30" s="22" t="n">
        <v>-19508</v>
      </c>
      <c r="C30" s="22" t="n">
        <v>-16798</v>
      </c>
      <c r="D30" s="27" t="n">
        <v>2710</v>
      </c>
    </row>
    <row r="31">
      <c r="A31" s="9" t="inlineStr">
        <is>
          <t>6-mo net (Plan)</t>
        </is>
      </c>
      <c r="B31" s="22" t="n">
        <v>1042</v>
      </c>
      <c r="C31" s="22" t="n">
        <v>4315</v>
      </c>
      <c r="D31" s="27" t="n">
        <v>3273</v>
      </c>
    </row>
    <row r="32">
      <c r="A32" s="9" t="inlineStr">
        <is>
          <t>6-mo net (Min)</t>
        </is>
      </c>
      <c r="B32" s="22" t="n">
        <v>-2368</v>
      </c>
      <c r="C32" s="22" t="n">
        <v>811</v>
      </c>
      <c r="D32" s="27" t="n">
        <v>3179</v>
      </c>
    </row>
    <row r="33">
      <c r="A33" s="9" t="inlineStr">
        <is>
          <t>6-mo net (Stretch)</t>
        </is>
      </c>
      <c r="B33" s="22" t="n">
        <v>3816</v>
      </c>
      <c r="C33" s="22" t="n">
        <v>7164</v>
      </c>
      <c r="D33" s="27" t="n">
        <v>3348</v>
      </c>
    </row>
    <row r="34">
      <c r="A34" s="9" t="inlineStr">
        <is>
          <t>12-mo cash (Plan)</t>
        </is>
      </c>
      <c r="B34" s="11" t="n">
        <v>0</v>
      </c>
      <c r="C34" s="22" t="n">
        <v>39246</v>
      </c>
      <c r="D34" s="27" t="n">
        <v>39246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2026-05-12T02:31:15Z</dcterms:created>
  <dcterms:modified xsi:type="dcterms:W3CDTF">2026-05-12T02:31:15Z</dcterms:modified>
</cp:coreProperties>
</file>